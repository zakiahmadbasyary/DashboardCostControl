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code\src\data\"/>
    </mc:Choice>
  </mc:AlternateContent>
  <xr:revisionPtr revIDLastSave="0" documentId="13_ncr:1_{E1CA6F31-5B51-4849-818B-A2E31AFA0BA2}" xr6:coauthVersionLast="47" xr6:coauthVersionMax="47" xr10:uidLastSave="{00000000-0000-0000-0000-000000000000}"/>
  <bookViews>
    <workbookView xWindow="-108" yWindow="-108" windowWidth="23256" windowHeight="13176" xr2:uid="{6A1E0381-7CF2-4F0D-B06D-AC42C4A9E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G3" i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G27" i="1" a="1"/>
  <c r="G28" i="1" a="1"/>
  <c r="G29" i="1" a="1"/>
  <c r="G30" i="1" a="1"/>
  <c r="G31" i="1" a="1"/>
  <c r="G32" i="1" a="1"/>
  <c r="G33" i="1" a="1"/>
  <c r="G34" i="1" a="1"/>
  <c r="G35" i="1" a="1"/>
  <c r="G36" i="1" a="1"/>
  <c r="G37" i="1" a="1"/>
  <c r="G38" i="1" a="1"/>
  <c r="G39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  <c r="G52" i="1" a="1"/>
  <c r="G53" i="1" a="1"/>
  <c r="G54" i="1" a="1"/>
  <c r="G55" i="1" a="1"/>
  <c r="G56" i="1" a="1"/>
  <c r="G57" i="1" a="1"/>
  <c r="G58" i="1" a="1"/>
  <c r="G59" i="1" a="1"/>
  <c r="G60" i="1" a="1"/>
  <c r="G61" i="1" a="1"/>
  <c r="G62" i="1" a="1"/>
  <c r="G63" i="1" a="1"/>
  <c r="G64" i="1" a="1"/>
  <c r="G65" i="1" a="1"/>
  <c r="G66" i="1" a="1"/>
  <c r="G67" i="1" a="1"/>
  <c r="G68" i="1" a="1"/>
  <c r="G69" i="1" a="1"/>
  <c r="G70" i="1" a="1"/>
  <c r="G71" i="1" a="1"/>
  <c r="G72" i="1" a="1"/>
  <c r="G73" i="1" a="1"/>
  <c r="G74" i="1" a="1"/>
  <c r="G75" i="1" a="1"/>
  <c r="G76" i="1" a="1"/>
  <c r="G77" i="1" a="1"/>
  <c r="G78" i="1" a="1"/>
  <c r="G79" i="1" a="1"/>
  <c r="G80" i="1" a="1"/>
  <c r="G81" i="1" a="1"/>
  <c r="G82" i="1" a="1"/>
  <c r="G83" i="1" a="1"/>
  <c r="G84" i="1" a="1"/>
  <c r="G85" i="1" a="1"/>
  <c r="G86" i="1" a="1"/>
  <c r="G87" i="1" a="1"/>
  <c r="G88" i="1" a="1"/>
  <c r="G89" i="1" a="1"/>
  <c r="G90" i="1" a="1"/>
  <c r="G91" i="1" a="1"/>
  <c r="G92" i="1" a="1"/>
  <c r="G93" i="1" a="1"/>
  <c r="G94" i="1" a="1"/>
  <c r="G95" i="1" a="1"/>
  <c r="G96" i="1" a="1"/>
  <c r="G97" i="1" a="1"/>
  <c r="G98" i="1" a="1"/>
  <c r="G99" i="1" a="1"/>
  <c r="G100" i="1" a="1"/>
  <c r="G101" i="1" a="1"/>
  <c r="G102" i="1" a="1"/>
  <c r="G103" i="1" a="1"/>
  <c r="G104" i="1" a="1"/>
  <c r="G105" i="1" a="1"/>
  <c r="G106" i="1" a="1"/>
  <c r="G107" i="1" a="1"/>
  <c r="G108" i="1" a="1"/>
  <c r="G109" i="1" a="1"/>
  <c r="G110" i="1" a="1"/>
  <c r="G111" i="1" a="1"/>
  <c r="G112" i="1" a="1"/>
  <c r="G113" i="1" a="1"/>
  <c r="G114" i="1" a="1"/>
  <c r="G115" i="1" a="1"/>
  <c r="G116" i="1" a="1"/>
  <c r="G117" i="1" a="1"/>
  <c r="G118" i="1" a="1"/>
  <c r="G119" i="1" a="1"/>
  <c r="G120" i="1" a="1"/>
  <c r="G121" i="1" a="1"/>
  <c r="G122" i="1" a="1"/>
  <c r="G123" i="1" a="1"/>
  <c r="G124" i="1" a="1"/>
  <c r="G125" i="1" a="1"/>
  <c r="G126" i="1" a="1"/>
  <c r="G127" i="1" a="1"/>
  <c r="G128" i="1" a="1"/>
  <c r="G129" i="1" a="1"/>
  <c r="G130" i="1" a="1"/>
  <c r="G131" i="1" a="1"/>
  <c r="G132" i="1" a="1"/>
  <c r="G133" i="1" a="1"/>
  <c r="G134" i="1" a="1"/>
  <c r="G135" i="1" a="1"/>
  <c r="G136" i="1" a="1"/>
  <c r="G137" i="1" a="1"/>
  <c r="G138" i="1" a="1"/>
  <c r="G139" i="1" a="1"/>
  <c r="G140" i="1" a="1"/>
  <c r="G141" i="1" a="1"/>
  <c r="G142" i="1" a="1"/>
  <c r="G143" i="1" a="1"/>
  <c r="G144" i="1" a="1"/>
  <c r="G145" i="1" a="1"/>
  <c r="G146" i="1" a="1"/>
  <c r="G147" i="1" a="1"/>
  <c r="G148" i="1" a="1"/>
  <c r="G149" i="1" a="1"/>
  <c r="G150" i="1" a="1"/>
  <c r="G151" i="1" a="1"/>
  <c r="G152" i="1" a="1"/>
  <c r="G153" i="1" a="1"/>
  <c r="G154" i="1" a="1"/>
  <c r="G155" i="1" a="1"/>
  <c r="G156" i="1" a="1"/>
  <c r="G157" i="1" a="1"/>
  <c r="G158" i="1" a="1"/>
  <c r="G159" i="1" a="1"/>
  <c r="G160" i="1" a="1"/>
  <c r="G161" i="1" a="1"/>
  <c r="G162" i="1" a="1"/>
  <c r="G163" i="1" a="1"/>
  <c r="G164" i="1" a="1"/>
  <c r="G165" i="1" a="1"/>
  <c r="G166" i="1" a="1"/>
  <c r="G167" i="1" a="1"/>
  <c r="G168" i="1" a="1"/>
  <c r="G169" i="1" a="1"/>
  <c r="G170" i="1" a="1"/>
  <c r="G171" i="1" a="1"/>
  <c r="G172" i="1" a="1"/>
  <c r="G173" i="1" a="1"/>
  <c r="G174" i="1" a="1"/>
  <c r="G175" i="1" a="1"/>
  <c r="G176" i="1" a="1"/>
  <c r="G177" i="1" a="1"/>
  <c r="G178" i="1" a="1"/>
  <c r="G179" i="1" a="1"/>
  <c r="G180" i="1" a="1"/>
  <c r="G181" i="1" a="1"/>
  <c r="G182" i="1" a="1"/>
  <c r="G183" i="1" a="1"/>
  <c r="G184" i="1" a="1"/>
  <c r="G185" i="1" a="1"/>
  <c r="G186" i="1" a="1"/>
  <c r="G187" i="1" a="1"/>
  <c r="G188" i="1" a="1"/>
  <c r="G189" i="1" a="1"/>
  <c r="G190" i="1" a="1"/>
  <c r="G191" i="1" a="1"/>
  <c r="G192" i="1" a="1"/>
  <c r="G193" i="1" a="1"/>
  <c r="G194" i="1" a="1"/>
  <c r="G195" i="1" a="1"/>
  <c r="G196" i="1" a="1"/>
  <c r="G197" i="1" a="1"/>
  <c r="G198" i="1" a="1"/>
  <c r="G199" i="1" a="1"/>
  <c r="G200" i="1" a="1"/>
  <c r="G201" i="1" a="1"/>
  <c r="G202" i="1" a="1"/>
  <c r="G203" i="1" a="1"/>
  <c r="G204" i="1" a="1"/>
  <c r="G205" i="1" a="1"/>
  <c r="G206" i="1" a="1"/>
  <c r="G207" i="1" a="1"/>
  <c r="G208" i="1" a="1"/>
  <c r="G209" i="1" a="1"/>
  <c r="G210" i="1" a="1"/>
  <c r="G211" i="1" a="1"/>
  <c r="G212" i="1" a="1"/>
  <c r="G213" i="1" a="1"/>
  <c r="G214" i="1" a="1"/>
  <c r="G215" i="1" a="1"/>
  <c r="G216" i="1" a="1"/>
  <c r="G217" i="1" a="1"/>
  <c r="G218" i="1" a="1"/>
  <c r="G219" i="1" a="1"/>
  <c r="G220" i="1" a="1"/>
  <c r="G221" i="1" a="1"/>
  <c r="G222" i="1" a="1"/>
  <c r="G223" i="1" a="1"/>
  <c r="G224" i="1" a="1"/>
  <c r="G225" i="1" a="1"/>
  <c r="G226" i="1" a="1"/>
  <c r="G227" i="1" a="1"/>
  <c r="G228" i="1" a="1"/>
  <c r="G229" i="1" a="1"/>
  <c r="G230" i="1" a="1"/>
  <c r="G231" i="1" a="1"/>
  <c r="G232" i="1" a="1"/>
  <c r="G233" i="1" a="1"/>
  <c r="G234" i="1" a="1"/>
  <c r="G235" i="1" a="1"/>
  <c r="G236" i="1" a="1"/>
  <c r="G237" i="1" a="1"/>
  <c r="G238" i="1" a="1"/>
  <c r="G239" i="1" a="1"/>
  <c r="G240" i="1" a="1"/>
  <c r="G241" i="1" a="1"/>
  <c r="G242" i="1" a="1"/>
  <c r="G243" i="1" a="1"/>
  <c r="G244" i="1" a="1"/>
  <c r="G245" i="1" a="1"/>
  <c r="G246" i="1" a="1"/>
  <c r="G247" i="1" a="1"/>
  <c r="G248" i="1" a="1"/>
  <c r="G249" i="1" a="1"/>
  <c r="G250" i="1" a="1"/>
  <c r="G251" i="1" a="1"/>
  <c r="G252" i="1" a="1"/>
  <c r="G253" i="1" a="1"/>
  <c r="G254" i="1" a="1"/>
  <c r="G255" i="1" a="1"/>
  <c r="G256" i="1" a="1"/>
  <c r="G257" i="1" a="1"/>
  <c r="G258" i="1" a="1"/>
  <c r="G259" i="1" a="1"/>
  <c r="G260" i="1" a="1"/>
  <c r="G261" i="1" a="1"/>
  <c r="G262" i="1" a="1"/>
  <c r="G263" i="1" a="1"/>
  <c r="G264" i="1" a="1"/>
  <c r="G265" i="1" a="1"/>
  <c r="G266" i="1" a="1"/>
  <c r="G267" i="1" a="1"/>
  <c r="G268" i="1" a="1"/>
  <c r="G269" i="1" a="1"/>
  <c r="G270" i="1" a="1"/>
  <c r="G271" i="1" a="1"/>
  <c r="G272" i="1" a="1"/>
  <c r="G273" i="1" a="1"/>
  <c r="G274" i="1" a="1"/>
  <c r="G275" i="1" a="1"/>
  <c r="G276" i="1" a="1"/>
  <c r="G277" i="1" a="1"/>
  <c r="G278" i="1" a="1"/>
  <c r="G279" i="1" a="1"/>
  <c r="G280" i="1" a="1"/>
  <c r="G281" i="1" a="1"/>
  <c r="G282" i="1" a="1"/>
  <c r="G283" i="1" a="1"/>
  <c r="G284" i="1" a="1"/>
  <c r="G285" i="1" a="1"/>
  <c r="G286" i="1" a="1"/>
  <c r="G287" i="1" a="1"/>
  <c r="G288" i="1" a="1"/>
  <c r="G289" i="1" a="1"/>
  <c r="G290" i="1" a="1"/>
  <c r="G291" i="1" a="1"/>
  <c r="G292" i="1" a="1"/>
  <c r="G293" i="1" a="1"/>
  <c r="G294" i="1" a="1"/>
  <c r="G295" i="1" a="1"/>
  <c r="G296" i="1" a="1"/>
  <c r="G297" i="1" a="1"/>
  <c r="G298" i="1" a="1"/>
  <c r="G299" i="1" a="1"/>
  <c r="G300" i="1" a="1"/>
  <c r="G301" i="1" a="1"/>
  <c r="G302" i="1" a="1"/>
  <c r="G303" i="1" a="1"/>
  <c r="G304" i="1" a="1"/>
  <c r="G305" i="1" a="1"/>
  <c r="G306" i="1" a="1"/>
  <c r="G307" i="1" a="1"/>
  <c r="G308" i="1" a="1"/>
  <c r="G309" i="1" a="1"/>
  <c r="G310" i="1" a="1"/>
  <c r="G311" i="1" a="1"/>
  <c r="G312" i="1" a="1"/>
  <c r="G313" i="1" a="1"/>
  <c r="G314" i="1" a="1"/>
  <c r="G315" i="1" a="1"/>
  <c r="G316" i="1" a="1"/>
  <c r="G317" i="1" a="1"/>
  <c r="G318" i="1" a="1"/>
  <c r="G319" i="1" a="1"/>
  <c r="G320" i="1" a="1"/>
  <c r="G321" i="1" a="1"/>
  <c r="G322" i="1" a="1"/>
  <c r="G323" i="1" a="1"/>
  <c r="G324" i="1" a="1"/>
  <c r="G325" i="1" a="1"/>
  <c r="G326" i="1" a="1"/>
  <c r="G327" i="1" a="1"/>
  <c r="G328" i="1" a="1"/>
  <c r="G329" i="1" a="1"/>
  <c r="G330" i="1" a="1"/>
  <c r="G331" i="1" a="1"/>
  <c r="G332" i="1" a="1"/>
  <c r="G333" i="1" a="1"/>
  <c r="G334" i="1" a="1"/>
  <c r="G335" i="1" a="1"/>
  <c r="G336" i="1" a="1"/>
  <c r="G337" i="1" a="1"/>
  <c r="G338" i="1" a="1"/>
  <c r="G339" i="1" a="1"/>
  <c r="G340" i="1" a="1"/>
  <c r="G341" i="1" a="1"/>
  <c r="G342" i="1" a="1"/>
  <c r="G343" i="1" a="1"/>
  <c r="G344" i="1" a="1"/>
  <c r="G345" i="1" a="1"/>
  <c r="G346" i="1" a="1"/>
  <c r="G347" i="1" a="1"/>
  <c r="G348" i="1" a="1"/>
  <c r="G349" i="1" a="1"/>
  <c r="G350" i="1" a="1"/>
  <c r="G351" i="1" a="1"/>
  <c r="G352" i="1" a="1"/>
  <c r="G353" i="1" a="1"/>
  <c r="G354" i="1" a="1"/>
  <c r="G355" i="1" a="1"/>
  <c r="G356" i="1" a="1"/>
  <c r="G357" i="1" a="1"/>
  <c r="G358" i="1" a="1"/>
  <c r="G359" i="1" a="1"/>
  <c r="G360" i="1" a="1"/>
  <c r="G361" i="1" a="1"/>
  <c r="G362" i="1" a="1"/>
  <c r="G363" i="1" a="1"/>
  <c r="G364" i="1" a="1"/>
  <c r="G365" i="1" a="1"/>
  <c r="G366" i="1" a="1"/>
  <c r="G367" i="1" a="1"/>
  <c r="G368" i="1" a="1"/>
  <c r="G369" i="1" a="1"/>
  <c r="G370" i="1" a="1"/>
  <c r="G371" i="1" a="1"/>
  <c r="G372" i="1" a="1"/>
  <c r="G373" i="1" a="1"/>
  <c r="G374" i="1" a="1"/>
  <c r="G375" i="1" a="1"/>
  <c r="G376" i="1" a="1"/>
  <c r="G377" i="1" a="1"/>
  <c r="G378" i="1" a="1"/>
  <c r="G379" i="1" a="1"/>
  <c r="G380" i="1" a="1"/>
  <c r="G381" i="1" a="1"/>
  <c r="G382" i="1" a="1"/>
  <c r="G383" i="1" a="1"/>
  <c r="G384" i="1" a="1"/>
  <c r="G385" i="1" a="1"/>
  <c r="G386" i="1" a="1"/>
  <c r="G387" i="1" a="1"/>
  <c r="G388" i="1" a="1"/>
  <c r="G389" i="1" a="1"/>
  <c r="G390" i="1" a="1"/>
  <c r="G391" i="1" a="1"/>
  <c r="G392" i="1" a="1"/>
  <c r="G393" i="1" a="1"/>
  <c r="G394" i="1" a="1"/>
  <c r="G395" i="1" a="1"/>
  <c r="G396" i="1" a="1"/>
  <c r="G397" i="1" a="1"/>
  <c r="G398" i="1" a="1"/>
  <c r="G399" i="1" a="1"/>
  <c r="G400" i="1" a="1"/>
  <c r="G401" i="1" a="1"/>
  <c r="G402" i="1" a="1"/>
  <c r="G403" i="1" a="1"/>
  <c r="G404" i="1" a="1"/>
  <c r="G405" i="1" a="1"/>
  <c r="G406" i="1" a="1"/>
  <c r="G407" i="1" a="1"/>
  <c r="G408" i="1" a="1"/>
  <c r="G409" i="1" a="1"/>
  <c r="G410" i="1" a="1"/>
  <c r="G411" i="1" a="1"/>
  <c r="G412" i="1" a="1"/>
  <c r="G413" i="1" a="1"/>
  <c r="G414" i="1" a="1"/>
  <c r="G415" i="1" a="1"/>
  <c r="G416" i="1" a="1"/>
  <c r="G417" i="1" a="1"/>
  <c r="G418" i="1" a="1"/>
  <c r="G419" i="1" a="1"/>
  <c r="G420" i="1" a="1"/>
  <c r="G421" i="1" a="1"/>
  <c r="G422" i="1" a="1"/>
  <c r="G423" i="1" a="1"/>
  <c r="G424" i="1" a="1"/>
  <c r="G425" i="1" a="1"/>
  <c r="G426" i="1" a="1"/>
  <c r="G427" i="1" a="1"/>
  <c r="G428" i="1" a="1"/>
  <c r="G429" i="1" a="1"/>
  <c r="G430" i="1" a="1"/>
  <c r="G431" i="1" a="1"/>
  <c r="G432" i="1" a="1"/>
  <c r="G433" i="1" a="1"/>
  <c r="G434" i="1" a="1"/>
  <c r="G435" i="1" a="1"/>
  <c r="G436" i="1" a="1"/>
  <c r="G437" i="1" a="1"/>
  <c r="G438" i="1" a="1"/>
  <c r="G439" i="1" a="1"/>
  <c r="G440" i="1" a="1"/>
  <c r="G441" i="1" a="1"/>
  <c r="G442" i="1" a="1"/>
  <c r="G443" i="1" a="1"/>
  <c r="G444" i="1" a="1"/>
  <c r="G445" i="1" a="1"/>
  <c r="G446" i="1" a="1"/>
  <c r="G447" i="1" a="1"/>
  <c r="G448" i="1" a="1"/>
  <c r="G449" i="1" a="1"/>
  <c r="G450" i="1" a="1"/>
  <c r="G451" i="1" a="1"/>
  <c r="G452" i="1" a="1"/>
  <c r="G453" i="1" a="1"/>
  <c r="G454" i="1" a="1"/>
  <c r="G455" i="1" a="1"/>
  <c r="G456" i="1" a="1"/>
  <c r="G457" i="1" a="1"/>
  <c r="G458" i="1" a="1"/>
  <c r="G459" i="1" a="1"/>
  <c r="G460" i="1" a="1"/>
  <c r="G461" i="1" a="1"/>
  <c r="G462" i="1" a="1"/>
  <c r="G463" i="1" a="1"/>
  <c r="G464" i="1" a="1"/>
  <c r="G465" i="1" a="1"/>
  <c r="G466" i="1" a="1"/>
  <c r="G467" i="1" a="1"/>
  <c r="G468" i="1" a="1"/>
  <c r="G469" i="1" a="1"/>
  <c r="G470" i="1" a="1"/>
  <c r="G471" i="1" a="1"/>
  <c r="G472" i="1" a="1"/>
  <c r="G473" i="1" a="1"/>
  <c r="G474" i="1" a="1"/>
  <c r="G475" i="1" a="1"/>
  <c r="G476" i="1" a="1"/>
  <c r="G477" i="1" a="1"/>
  <c r="G478" i="1" a="1"/>
  <c r="G479" i="1" a="1"/>
  <c r="G480" i="1" a="1"/>
  <c r="G481" i="1" a="1"/>
  <c r="G482" i="1" a="1"/>
  <c r="G483" i="1" a="1"/>
  <c r="G484" i="1" a="1"/>
  <c r="G485" i="1" a="1"/>
  <c r="G486" i="1" a="1"/>
  <c r="G487" i="1" a="1"/>
  <c r="G488" i="1" a="1"/>
  <c r="G489" i="1" a="1"/>
  <c r="G490" i="1" a="1"/>
  <c r="G491" i="1" a="1"/>
  <c r="G492" i="1" a="1"/>
  <c r="G493" i="1" a="1"/>
  <c r="G494" i="1" a="1"/>
  <c r="G495" i="1" a="1"/>
  <c r="G496" i="1" a="1"/>
  <c r="G497" i="1" a="1"/>
  <c r="G498" i="1" a="1"/>
  <c r="G499" i="1" a="1"/>
  <c r="G500" i="1" a="1"/>
  <c r="G501" i="1" a="1"/>
  <c r="G502" i="1" a="1"/>
  <c r="G503" i="1" a="1"/>
  <c r="G504" i="1" a="1"/>
  <c r="G505" i="1" a="1"/>
  <c r="G506" i="1" a="1"/>
  <c r="G507" i="1" a="1"/>
  <c r="G508" i="1" a="1"/>
  <c r="G509" i="1" a="1"/>
  <c r="G510" i="1" a="1"/>
  <c r="G511" i="1" a="1"/>
  <c r="G512" i="1" a="1"/>
  <c r="G513" i="1" a="1"/>
  <c r="G514" i="1" a="1"/>
  <c r="G515" i="1" a="1"/>
  <c r="G516" i="1" a="1"/>
  <c r="G517" i="1" a="1"/>
  <c r="G518" i="1" a="1"/>
  <c r="G519" i="1" a="1"/>
  <c r="G520" i="1" a="1"/>
  <c r="G521" i="1" a="1"/>
  <c r="G522" i="1" a="1"/>
  <c r="G523" i="1" a="1"/>
  <c r="G524" i="1" a="1"/>
  <c r="G525" i="1" a="1"/>
  <c r="G526" i="1" a="1"/>
  <c r="G527" i="1" a="1"/>
  <c r="G528" i="1" a="1"/>
  <c r="G529" i="1" a="1"/>
  <c r="G530" i="1" a="1"/>
  <c r="G531" i="1" a="1"/>
  <c r="G532" i="1" a="1"/>
  <c r="G533" i="1" a="1"/>
  <c r="G534" i="1" a="1"/>
  <c r="G535" i="1" a="1"/>
  <c r="G536" i="1" a="1"/>
  <c r="G537" i="1" a="1"/>
  <c r="G538" i="1" a="1"/>
  <c r="G539" i="1" a="1"/>
  <c r="G540" i="1" a="1"/>
  <c r="G541" i="1" a="1"/>
  <c r="G542" i="1" a="1"/>
  <c r="G543" i="1" a="1"/>
  <c r="G544" i="1" a="1"/>
  <c r="G545" i="1" a="1"/>
  <c r="G546" i="1" a="1"/>
  <c r="G547" i="1" a="1"/>
  <c r="G548" i="1" a="1"/>
  <c r="G549" i="1" a="1"/>
  <c r="G550" i="1" a="1"/>
  <c r="G551" i="1" a="1"/>
  <c r="G552" i="1" a="1"/>
  <c r="G553" i="1" a="1"/>
  <c r="G554" i="1" a="1"/>
  <c r="G555" i="1" a="1"/>
  <c r="G556" i="1" a="1"/>
  <c r="G557" i="1" a="1"/>
  <c r="G558" i="1" a="1"/>
  <c r="G559" i="1" a="1"/>
  <c r="G560" i="1" a="1"/>
  <c r="G561" i="1" a="1"/>
  <c r="G562" i="1" a="1"/>
  <c r="G563" i="1" a="1"/>
  <c r="G564" i="1" a="1"/>
  <c r="G565" i="1" a="1"/>
  <c r="G566" i="1" a="1"/>
  <c r="G567" i="1" a="1"/>
  <c r="G568" i="1" a="1"/>
  <c r="G569" i="1" a="1"/>
  <c r="G570" i="1" a="1"/>
  <c r="G571" i="1" a="1"/>
  <c r="G572" i="1" a="1"/>
  <c r="G573" i="1" a="1"/>
  <c r="G574" i="1" a="1"/>
  <c r="G575" i="1" a="1"/>
  <c r="G576" i="1" a="1"/>
  <c r="G577" i="1" a="1"/>
  <c r="G578" i="1" a="1"/>
  <c r="G579" i="1" a="1"/>
  <c r="G580" i="1" a="1"/>
  <c r="G581" i="1" a="1"/>
  <c r="G582" i="1" a="1"/>
  <c r="G583" i="1" a="1"/>
  <c r="G584" i="1" a="1"/>
  <c r="G585" i="1" a="1"/>
  <c r="G586" i="1" a="1"/>
  <c r="G587" i="1" a="1"/>
  <c r="G588" i="1" a="1"/>
  <c r="G589" i="1" a="1"/>
  <c r="G590" i="1" a="1"/>
  <c r="G591" i="1" a="1"/>
  <c r="G592" i="1" a="1"/>
  <c r="G593" i="1" a="1"/>
  <c r="G594" i="1" a="1"/>
  <c r="G595" i="1" a="1"/>
  <c r="G596" i="1" a="1"/>
  <c r="G597" i="1" a="1"/>
  <c r="G598" i="1" a="1"/>
  <c r="G599" i="1" a="1"/>
  <c r="G600" i="1" a="1"/>
  <c r="G601" i="1" a="1"/>
  <c r="G602" i="1" a="1"/>
  <c r="G603" i="1" a="1"/>
  <c r="G604" i="1" a="1"/>
  <c r="G605" i="1" a="1"/>
  <c r="G606" i="1" a="1"/>
  <c r="G607" i="1" a="1"/>
  <c r="G608" i="1" a="1"/>
  <c r="G609" i="1" a="1"/>
  <c r="G610" i="1" a="1"/>
  <c r="G611" i="1" a="1"/>
  <c r="G612" i="1" a="1"/>
  <c r="G613" i="1" a="1"/>
  <c r="G614" i="1" a="1"/>
  <c r="G615" i="1" a="1"/>
  <c r="G616" i="1" a="1"/>
  <c r="G617" i="1" a="1"/>
  <c r="G618" i="1" a="1"/>
  <c r="G619" i="1" a="1"/>
  <c r="G620" i="1" a="1"/>
  <c r="G621" i="1" a="1"/>
  <c r="G622" i="1" a="1"/>
  <c r="G623" i="1" a="1"/>
  <c r="G624" i="1" a="1"/>
  <c r="G625" i="1" a="1"/>
  <c r="G626" i="1" a="1"/>
  <c r="G627" i="1" a="1"/>
  <c r="G628" i="1" a="1"/>
  <c r="G629" i="1" a="1"/>
  <c r="G630" i="1" a="1"/>
  <c r="G631" i="1" a="1"/>
  <c r="G632" i="1" a="1"/>
  <c r="G633" i="1" a="1"/>
  <c r="G634" i="1" a="1"/>
  <c r="G635" i="1" a="1"/>
  <c r="G636" i="1" a="1"/>
  <c r="G637" i="1" a="1"/>
  <c r="G638" i="1" a="1"/>
  <c r="G639" i="1" a="1"/>
  <c r="G640" i="1" a="1"/>
  <c r="G641" i="1" a="1"/>
  <c r="G642" i="1" a="1"/>
  <c r="G643" i="1" a="1"/>
  <c r="G644" i="1" a="1"/>
  <c r="G645" i="1" a="1"/>
  <c r="G646" i="1" a="1"/>
  <c r="G647" i="1" a="1"/>
  <c r="G648" i="1" a="1"/>
  <c r="G649" i="1" a="1"/>
  <c r="G650" i="1" a="1"/>
  <c r="G651" i="1" a="1"/>
  <c r="G652" i="1" a="1"/>
  <c r="G653" i="1" a="1"/>
  <c r="G654" i="1" a="1"/>
  <c r="G655" i="1" a="1"/>
  <c r="G656" i="1" a="1"/>
  <c r="G657" i="1" a="1"/>
  <c r="G658" i="1" a="1"/>
  <c r="G659" i="1" a="1"/>
  <c r="G660" i="1" a="1"/>
  <c r="G661" i="1" a="1"/>
  <c r="G662" i="1" a="1"/>
  <c r="G663" i="1" a="1"/>
  <c r="G664" i="1" a="1"/>
  <c r="G665" i="1" a="1"/>
  <c r="G666" i="1" a="1"/>
  <c r="G667" i="1" a="1"/>
  <c r="G668" i="1" a="1"/>
  <c r="G669" i="1" a="1"/>
  <c r="G670" i="1" a="1"/>
  <c r="G671" i="1" a="1"/>
  <c r="G672" i="1" a="1"/>
  <c r="G673" i="1" a="1"/>
  <c r="G674" i="1" a="1"/>
  <c r="G675" i="1" a="1"/>
  <c r="G676" i="1" a="1"/>
  <c r="G677" i="1" a="1"/>
  <c r="G678" i="1" a="1"/>
  <c r="G679" i="1" a="1"/>
  <c r="G680" i="1" a="1"/>
  <c r="G681" i="1" a="1"/>
  <c r="G682" i="1" a="1"/>
  <c r="G683" i="1" a="1"/>
  <c r="G684" i="1" a="1"/>
  <c r="G685" i="1" a="1"/>
  <c r="G686" i="1" a="1"/>
  <c r="G687" i="1" a="1"/>
  <c r="G688" i="1" a="1"/>
  <c r="G689" i="1" a="1"/>
  <c r="G690" i="1" a="1"/>
  <c r="G691" i="1" a="1"/>
  <c r="G692" i="1" a="1"/>
  <c r="G693" i="1" a="1"/>
  <c r="G694" i="1" a="1"/>
  <c r="G695" i="1" a="1"/>
  <c r="G696" i="1" a="1"/>
  <c r="G697" i="1" a="1"/>
  <c r="G698" i="1" a="1"/>
  <c r="G699" i="1" a="1"/>
  <c r="F2" i="1" a="1"/>
  <c r="F3" i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25" i="1" a="1"/>
  <c r="F26" i="1" a="1"/>
  <c r="F27" i="1" a="1"/>
  <c r="F28" i="1" a="1"/>
  <c r="F29" i="1" a="1"/>
  <c r="F30" i="1" a="1"/>
  <c r="F31" i="1" a="1"/>
  <c r="F32" i="1" a="1"/>
  <c r="F33" i="1" a="1"/>
  <c r="F34" i="1" a="1"/>
  <c r="F35" i="1" a="1"/>
  <c r="F36" i="1" a="1"/>
  <c r="F37" i="1" a="1"/>
  <c r="F38" i="1" a="1"/>
  <c r="F39" i="1" a="1"/>
  <c r="F40" i="1" a="1"/>
  <c r="F41" i="1" a="1"/>
  <c r="F42" i="1" a="1"/>
  <c r="F43" i="1" a="1"/>
  <c r="F44" i="1" a="1"/>
  <c r="F45" i="1" a="1"/>
  <c r="F46" i="1" a="1"/>
  <c r="F47" i="1" a="1"/>
  <c r="F48" i="1" a="1"/>
  <c r="F49" i="1" a="1"/>
  <c r="F50" i="1" a="1"/>
  <c r="F51" i="1" a="1"/>
  <c r="F52" i="1" a="1"/>
  <c r="F53" i="1" a="1"/>
  <c r="F54" i="1" a="1"/>
  <c r="F55" i="1" a="1"/>
  <c r="F56" i="1" a="1"/>
  <c r="F57" i="1" a="1"/>
  <c r="F58" i="1" a="1"/>
  <c r="F59" i="1" a="1"/>
  <c r="F60" i="1" a="1"/>
  <c r="F61" i="1" a="1"/>
  <c r="F62" i="1" a="1"/>
  <c r="F63" i="1" a="1"/>
  <c r="F64" i="1" a="1"/>
  <c r="F65" i="1" a="1"/>
  <c r="F66" i="1" a="1"/>
  <c r="F67" i="1" a="1"/>
  <c r="F68" i="1" a="1"/>
  <c r="F69" i="1" a="1"/>
  <c r="F70" i="1" a="1"/>
  <c r="F71" i="1" a="1"/>
  <c r="F72" i="1" a="1"/>
  <c r="F73" i="1" a="1"/>
  <c r="F74" i="1" a="1"/>
  <c r="F75" i="1" a="1"/>
  <c r="F76" i="1" a="1"/>
  <c r="F77" i="1" a="1"/>
  <c r="F78" i="1" a="1"/>
  <c r="F79" i="1" a="1"/>
  <c r="F80" i="1" a="1"/>
  <c r="F81" i="1" a="1"/>
  <c r="F82" i="1" a="1"/>
  <c r="F83" i="1" a="1"/>
  <c r="F84" i="1" a="1"/>
  <c r="F85" i="1" a="1"/>
  <c r="F86" i="1" a="1"/>
  <c r="F87" i="1" a="1"/>
  <c r="F88" i="1" a="1"/>
  <c r="F89" i="1" a="1"/>
  <c r="F90" i="1" a="1"/>
  <c r="F91" i="1" a="1"/>
  <c r="F92" i="1" a="1"/>
  <c r="F93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05" i="1" a="1"/>
  <c r="F106" i="1" a="1"/>
  <c r="F107" i="1" a="1"/>
  <c r="F108" i="1" a="1"/>
  <c r="F109" i="1" a="1"/>
  <c r="F110" i="1" a="1"/>
  <c r="F111" i="1" a="1"/>
  <c r="F112" i="1" a="1"/>
  <c r="F113" i="1" a="1"/>
  <c r="F114" i="1" a="1"/>
  <c r="F115" i="1" a="1"/>
  <c r="F116" i="1" a="1"/>
  <c r="F117" i="1" a="1"/>
  <c r="F118" i="1" a="1"/>
  <c r="F119" i="1" a="1"/>
  <c r="F120" i="1" a="1"/>
  <c r="F121" i="1" a="1"/>
  <c r="F122" i="1" a="1"/>
  <c r="F123" i="1" a="1"/>
  <c r="F124" i="1" a="1"/>
  <c r="F125" i="1" a="1"/>
  <c r="F126" i="1" a="1"/>
  <c r="F127" i="1" a="1"/>
  <c r="F128" i="1" a="1"/>
  <c r="F129" i="1" a="1"/>
  <c r="F130" i="1" a="1"/>
  <c r="F131" i="1" a="1"/>
  <c r="F132" i="1" a="1"/>
  <c r="F133" i="1" a="1"/>
  <c r="F134" i="1" a="1"/>
  <c r="F135" i="1" a="1"/>
  <c r="F136" i="1" a="1"/>
  <c r="F137" i="1" a="1"/>
  <c r="F138" i="1" a="1"/>
  <c r="F139" i="1" a="1"/>
  <c r="F140" i="1" a="1"/>
  <c r="F141" i="1" a="1"/>
  <c r="F142" i="1" a="1"/>
  <c r="F143" i="1" a="1"/>
  <c r="F144" i="1" a="1"/>
  <c r="F145" i="1" a="1"/>
  <c r="F146" i="1" a="1"/>
  <c r="F147" i="1" a="1"/>
  <c r="F148" i="1" a="1"/>
  <c r="F149" i="1" a="1"/>
  <c r="F150" i="1" a="1"/>
  <c r="F151" i="1" a="1"/>
  <c r="F152" i="1" a="1"/>
  <c r="F153" i="1" a="1"/>
  <c r="F154" i="1" a="1"/>
  <c r="F155" i="1" a="1"/>
  <c r="F156" i="1" a="1"/>
  <c r="F157" i="1" a="1"/>
  <c r="F158" i="1" a="1"/>
  <c r="F159" i="1" a="1"/>
  <c r="F160" i="1" a="1"/>
  <c r="F161" i="1" a="1"/>
  <c r="F162" i="1" a="1"/>
  <c r="F163" i="1" a="1"/>
  <c r="F164" i="1" a="1"/>
  <c r="F165" i="1" a="1"/>
  <c r="F166" i="1" a="1"/>
  <c r="F167" i="1" a="1"/>
  <c r="F168" i="1" a="1"/>
  <c r="F169" i="1" a="1"/>
  <c r="F170" i="1" a="1"/>
  <c r="F171" i="1" a="1"/>
  <c r="F172" i="1" a="1"/>
  <c r="F173" i="1" a="1"/>
  <c r="F174" i="1" a="1"/>
  <c r="F175" i="1" a="1"/>
  <c r="F176" i="1" a="1"/>
  <c r="F177" i="1" a="1"/>
  <c r="F178" i="1" a="1"/>
  <c r="F179" i="1" a="1"/>
  <c r="F180" i="1" a="1"/>
  <c r="F181" i="1" a="1"/>
  <c r="F182" i="1" a="1"/>
  <c r="F183" i="1" a="1"/>
  <c r="F184" i="1" a="1"/>
  <c r="F185" i="1" a="1"/>
  <c r="F186" i="1" a="1"/>
  <c r="F187" i="1" a="1"/>
  <c r="F188" i="1" a="1"/>
  <c r="F189" i="1" a="1"/>
  <c r="F190" i="1" a="1"/>
  <c r="F191" i="1" a="1"/>
  <c r="F192" i="1" a="1"/>
  <c r="F193" i="1" a="1"/>
  <c r="F194" i="1" a="1"/>
  <c r="F195" i="1" a="1"/>
  <c r="F196" i="1" a="1"/>
  <c r="F197" i="1" a="1"/>
  <c r="F198" i="1" a="1"/>
  <c r="F199" i="1" a="1"/>
  <c r="F200" i="1" a="1"/>
  <c r="F201" i="1" a="1"/>
  <c r="F202" i="1" a="1"/>
  <c r="F203" i="1" a="1"/>
  <c r="F204" i="1" a="1"/>
  <c r="F205" i="1" a="1"/>
  <c r="F206" i="1" a="1"/>
  <c r="F207" i="1" a="1"/>
  <c r="F208" i="1" a="1"/>
  <c r="F209" i="1" a="1"/>
  <c r="F210" i="1" a="1"/>
  <c r="F211" i="1" a="1"/>
  <c r="F212" i="1" a="1"/>
  <c r="F213" i="1" a="1"/>
  <c r="F214" i="1" a="1"/>
  <c r="F215" i="1" a="1"/>
  <c r="F216" i="1" a="1"/>
  <c r="F217" i="1" a="1"/>
  <c r="F218" i="1" a="1"/>
  <c r="F219" i="1" a="1"/>
  <c r="F220" i="1" a="1"/>
  <c r="F221" i="1" a="1"/>
  <c r="F222" i="1" a="1"/>
  <c r="F223" i="1" a="1"/>
  <c r="F224" i="1" a="1"/>
  <c r="F225" i="1" a="1"/>
  <c r="F226" i="1" a="1"/>
  <c r="F227" i="1" a="1"/>
  <c r="F228" i="1" a="1"/>
  <c r="F229" i="1" a="1"/>
  <c r="F230" i="1" a="1"/>
  <c r="F231" i="1" a="1"/>
  <c r="F232" i="1" a="1"/>
  <c r="F233" i="1" a="1"/>
  <c r="F234" i="1" a="1"/>
  <c r="F235" i="1" a="1"/>
  <c r="F236" i="1" a="1"/>
  <c r="F237" i="1" a="1"/>
  <c r="F238" i="1" a="1"/>
  <c r="F239" i="1" a="1"/>
  <c r="F240" i="1" a="1"/>
  <c r="F241" i="1" a="1"/>
  <c r="F242" i="1" a="1"/>
  <c r="F243" i="1" a="1"/>
  <c r="F244" i="1" a="1"/>
  <c r="F245" i="1" a="1"/>
  <c r="F246" i="1" a="1"/>
  <c r="F247" i="1" a="1"/>
  <c r="F248" i="1" a="1"/>
  <c r="F249" i="1" a="1"/>
  <c r="F250" i="1" a="1"/>
  <c r="F251" i="1" a="1"/>
  <c r="F252" i="1" a="1"/>
  <c r="F253" i="1" a="1"/>
  <c r="F254" i="1" a="1"/>
  <c r="F255" i="1" a="1"/>
  <c r="F256" i="1" a="1"/>
  <c r="F257" i="1" a="1"/>
  <c r="F258" i="1" a="1"/>
  <c r="F259" i="1" a="1"/>
  <c r="F260" i="1" a="1"/>
  <c r="F261" i="1" a="1"/>
  <c r="F262" i="1" a="1"/>
  <c r="F263" i="1" a="1"/>
  <c r="F264" i="1" a="1"/>
  <c r="F265" i="1" a="1"/>
  <c r="F266" i="1" a="1"/>
  <c r="F267" i="1" a="1"/>
  <c r="F268" i="1" a="1"/>
  <c r="F269" i="1" a="1"/>
  <c r="F270" i="1" a="1"/>
  <c r="F271" i="1" a="1"/>
  <c r="F272" i="1" a="1"/>
  <c r="F273" i="1" a="1"/>
  <c r="F274" i="1" a="1"/>
  <c r="F275" i="1" a="1"/>
  <c r="F276" i="1" a="1"/>
  <c r="F277" i="1" a="1"/>
  <c r="F278" i="1" a="1"/>
  <c r="F279" i="1" a="1"/>
  <c r="F280" i="1" a="1"/>
  <c r="F281" i="1" a="1"/>
  <c r="F282" i="1" a="1"/>
  <c r="F283" i="1" a="1"/>
  <c r="F284" i="1" a="1"/>
  <c r="F285" i="1" a="1"/>
  <c r="F286" i="1" a="1"/>
  <c r="F287" i="1" a="1"/>
  <c r="F288" i="1" a="1"/>
  <c r="F289" i="1" a="1"/>
  <c r="F290" i="1" a="1"/>
  <c r="F291" i="1" a="1"/>
  <c r="F292" i="1" a="1"/>
  <c r="F293" i="1" a="1"/>
  <c r="F294" i="1" a="1"/>
  <c r="F295" i="1" a="1"/>
  <c r="F296" i="1" a="1"/>
  <c r="F297" i="1" a="1"/>
  <c r="F298" i="1" a="1"/>
  <c r="F299" i="1" a="1"/>
  <c r="F300" i="1" a="1"/>
  <c r="F301" i="1" a="1"/>
  <c r="F302" i="1" a="1"/>
  <c r="F303" i="1" a="1"/>
  <c r="F304" i="1" a="1"/>
  <c r="F305" i="1" a="1"/>
  <c r="F306" i="1" a="1"/>
  <c r="F307" i="1" a="1"/>
  <c r="F308" i="1" a="1"/>
  <c r="F309" i="1" a="1"/>
  <c r="F310" i="1" a="1"/>
  <c r="F311" i="1" a="1"/>
  <c r="F312" i="1" a="1"/>
  <c r="F313" i="1" a="1"/>
  <c r="F314" i="1" a="1"/>
  <c r="F315" i="1" a="1"/>
  <c r="F316" i="1" a="1"/>
  <c r="F317" i="1" a="1"/>
  <c r="F318" i="1" a="1"/>
  <c r="F319" i="1" a="1"/>
  <c r="F320" i="1" a="1"/>
  <c r="F321" i="1" a="1"/>
  <c r="F322" i="1" a="1"/>
  <c r="F323" i="1" a="1"/>
  <c r="F324" i="1" a="1"/>
  <c r="F325" i="1" a="1"/>
  <c r="F326" i="1" a="1"/>
  <c r="F327" i="1" a="1"/>
  <c r="F328" i="1" a="1"/>
  <c r="F329" i="1" a="1"/>
  <c r="F330" i="1" a="1"/>
  <c r="F331" i="1" a="1"/>
  <c r="F332" i="1" a="1"/>
  <c r="F333" i="1" a="1"/>
  <c r="F334" i="1" a="1"/>
  <c r="F335" i="1" a="1"/>
  <c r="F336" i="1" a="1"/>
  <c r="F337" i="1" a="1"/>
  <c r="F338" i="1" a="1"/>
  <c r="F339" i="1" a="1"/>
  <c r="F340" i="1" a="1"/>
  <c r="F341" i="1" a="1"/>
  <c r="F342" i="1" a="1"/>
  <c r="F343" i="1" a="1"/>
  <c r="F344" i="1" a="1"/>
  <c r="F345" i="1" a="1"/>
  <c r="F346" i="1" a="1"/>
  <c r="F347" i="1" a="1"/>
  <c r="F348" i="1" a="1"/>
  <c r="F349" i="1" a="1"/>
  <c r="F350" i="1" a="1"/>
  <c r="F351" i="1" a="1"/>
  <c r="F352" i="1" a="1"/>
  <c r="F353" i="1" a="1"/>
  <c r="F354" i="1" a="1"/>
  <c r="F355" i="1" a="1"/>
  <c r="F356" i="1" a="1"/>
  <c r="F357" i="1" a="1"/>
  <c r="F358" i="1" a="1"/>
  <c r="F359" i="1" a="1"/>
  <c r="F360" i="1" a="1"/>
  <c r="F361" i="1" a="1"/>
  <c r="F362" i="1" a="1"/>
  <c r="F363" i="1" a="1"/>
  <c r="F364" i="1" a="1"/>
  <c r="F365" i="1" a="1"/>
  <c r="F366" i="1" a="1"/>
  <c r="F367" i="1" a="1"/>
  <c r="F368" i="1" a="1"/>
  <c r="F369" i="1" a="1"/>
  <c r="F370" i="1" a="1"/>
  <c r="F371" i="1" a="1"/>
  <c r="F372" i="1" a="1"/>
  <c r="F373" i="1" a="1"/>
  <c r="F374" i="1" a="1"/>
  <c r="F375" i="1" a="1"/>
  <c r="F376" i="1" a="1"/>
  <c r="F377" i="1" a="1"/>
  <c r="F378" i="1" a="1"/>
  <c r="F379" i="1" a="1"/>
  <c r="F380" i="1" a="1"/>
  <c r="F381" i="1" a="1"/>
  <c r="F382" i="1" a="1"/>
  <c r="F383" i="1" a="1"/>
  <c r="F384" i="1" a="1"/>
  <c r="F385" i="1" a="1"/>
  <c r="F386" i="1" a="1"/>
  <c r="F387" i="1" a="1"/>
  <c r="F388" i="1" a="1"/>
  <c r="F389" i="1" a="1"/>
  <c r="F390" i="1" a="1"/>
  <c r="F391" i="1" a="1"/>
  <c r="F392" i="1" a="1"/>
  <c r="F393" i="1" a="1"/>
  <c r="F394" i="1" a="1"/>
  <c r="F395" i="1" a="1"/>
  <c r="F396" i="1" a="1"/>
  <c r="F397" i="1" a="1"/>
  <c r="F398" i="1" a="1"/>
  <c r="F399" i="1" a="1"/>
  <c r="F400" i="1" a="1"/>
  <c r="F401" i="1" a="1"/>
  <c r="F402" i="1" a="1"/>
  <c r="F403" i="1" a="1"/>
  <c r="F404" i="1" a="1"/>
  <c r="F405" i="1" a="1"/>
  <c r="F406" i="1" a="1"/>
  <c r="F407" i="1" a="1"/>
  <c r="F408" i="1" a="1"/>
  <c r="F409" i="1" a="1"/>
  <c r="F410" i="1" a="1"/>
  <c r="F411" i="1" a="1"/>
  <c r="F412" i="1" a="1"/>
  <c r="F413" i="1" a="1"/>
  <c r="F414" i="1" a="1"/>
  <c r="F415" i="1" a="1"/>
  <c r="F416" i="1" a="1"/>
  <c r="F417" i="1" a="1"/>
  <c r="F418" i="1" a="1"/>
  <c r="F419" i="1" a="1"/>
  <c r="F420" i="1" a="1"/>
  <c r="F421" i="1" a="1"/>
  <c r="F422" i="1" a="1"/>
  <c r="F423" i="1" a="1"/>
  <c r="F424" i="1" a="1"/>
  <c r="F425" i="1" a="1"/>
  <c r="F426" i="1" a="1"/>
  <c r="F427" i="1" a="1"/>
  <c r="F428" i="1" a="1"/>
  <c r="F429" i="1" a="1"/>
  <c r="F430" i="1" a="1"/>
  <c r="F431" i="1" a="1"/>
  <c r="F432" i="1" a="1"/>
  <c r="F433" i="1" a="1"/>
  <c r="F434" i="1" a="1"/>
  <c r="F435" i="1" a="1"/>
  <c r="F436" i="1" a="1"/>
  <c r="F437" i="1" a="1"/>
  <c r="F438" i="1" a="1"/>
  <c r="F439" i="1" a="1"/>
  <c r="F440" i="1" a="1"/>
  <c r="F441" i="1" a="1"/>
  <c r="F442" i="1" a="1"/>
  <c r="F443" i="1" a="1"/>
  <c r="F444" i="1" a="1"/>
  <c r="F445" i="1" a="1"/>
  <c r="F446" i="1" a="1"/>
  <c r="F447" i="1" a="1"/>
  <c r="F448" i="1" a="1"/>
  <c r="F449" i="1" a="1"/>
  <c r="F450" i="1" a="1"/>
  <c r="F451" i="1" a="1"/>
  <c r="F452" i="1" a="1"/>
  <c r="F453" i="1" a="1"/>
  <c r="F454" i="1" a="1"/>
  <c r="F455" i="1" a="1"/>
  <c r="F456" i="1" a="1"/>
  <c r="F457" i="1" a="1"/>
  <c r="F458" i="1" a="1"/>
  <c r="F459" i="1" a="1"/>
  <c r="F460" i="1" a="1"/>
  <c r="F461" i="1" a="1"/>
  <c r="F462" i="1" a="1"/>
  <c r="F463" i="1" a="1"/>
  <c r="F464" i="1" a="1"/>
  <c r="F465" i="1" a="1"/>
  <c r="F466" i="1" a="1"/>
  <c r="F467" i="1" a="1"/>
  <c r="F468" i="1" a="1"/>
  <c r="F469" i="1" a="1"/>
  <c r="F470" i="1" a="1"/>
  <c r="F471" i="1" a="1"/>
  <c r="F472" i="1" a="1"/>
  <c r="F473" i="1" a="1"/>
  <c r="F474" i="1" a="1"/>
  <c r="F475" i="1" a="1"/>
  <c r="F476" i="1" a="1"/>
  <c r="F477" i="1" a="1"/>
  <c r="F478" i="1" a="1"/>
  <c r="F479" i="1" a="1"/>
  <c r="F480" i="1" a="1"/>
  <c r="F481" i="1" a="1"/>
  <c r="F482" i="1" a="1"/>
  <c r="F483" i="1" a="1"/>
  <c r="F484" i="1" a="1"/>
  <c r="F485" i="1" a="1"/>
  <c r="F486" i="1" a="1"/>
  <c r="F487" i="1" a="1"/>
  <c r="F488" i="1" a="1"/>
  <c r="F489" i="1" a="1"/>
  <c r="F490" i="1" a="1"/>
  <c r="F491" i="1" a="1"/>
  <c r="F492" i="1" a="1"/>
  <c r="F493" i="1" a="1"/>
  <c r="F494" i="1" a="1"/>
  <c r="F495" i="1" a="1"/>
  <c r="F496" i="1" a="1"/>
  <c r="F497" i="1" a="1"/>
  <c r="F498" i="1" a="1"/>
  <c r="F499" i="1" a="1"/>
  <c r="F500" i="1" a="1"/>
  <c r="F501" i="1" a="1"/>
  <c r="F502" i="1" a="1"/>
  <c r="F503" i="1" a="1"/>
  <c r="F504" i="1" a="1"/>
  <c r="F505" i="1" a="1"/>
  <c r="F506" i="1" a="1"/>
  <c r="F507" i="1" a="1"/>
  <c r="F508" i="1" a="1"/>
  <c r="F509" i="1" a="1"/>
  <c r="F510" i="1" a="1"/>
  <c r="F511" i="1" a="1"/>
  <c r="F512" i="1" a="1"/>
  <c r="F513" i="1" a="1"/>
  <c r="F514" i="1" a="1"/>
  <c r="F515" i="1" a="1"/>
  <c r="F516" i="1" a="1"/>
  <c r="F517" i="1" a="1"/>
  <c r="F518" i="1" a="1"/>
  <c r="F519" i="1" a="1"/>
  <c r="F520" i="1" a="1"/>
  <c r="F521" i="1" a="1"/>
  <c r="F522" i="1" a="1"/>
  <c r="F523" i="1" a="1"/>
  <c r="F524" i="1" a="1"/>
  <c r="F525" i="1" a="1"/>
  <c r="F526" i="1" a="1"/>
  <c r="F527" i="1" a="1"/>
  <c r="F528" i="1" a="1"/>
  <c r="F529" i="1" a="1"/>
  <c r="F530" i="1" a="1"/>
  <c r="F531" i="1" a="1"/>
  <c r="F532" i="1" a="1"/>
  <c r="F533" i="1" a="1"/>
  <c r="F534" i="1" a="1"/>
  <c r="F535" i="1" a="1"/>
  <c r="F536" i="1" a="1"/>
  <c r="F537" i="1" a="1"/>
  <c r="F538" i="1" a="1"/>
  <c r="F539" i="1" a="1"/>
  <c r="F540" i="1" a="1"/>
  <c r="F541" i="1" a="1"/>
  <c r="F542" i="1" a="1"/>
  <c r="F543" i="1" a="1"/>
  <c r="F544" i="1" a="1"/>
  <c r="F545" i="1" a="1"/>
  <c r="F546" i="1" a="1"/>
  <c r="F547" i="1" a="1"/>
  <c r="F548" i="1" a="1"/>
  <c r="F549" i="1" a="1"/>
  <c r="F550" i="1" a="1"/>
  <c r="F551" i="1" a="1"/>
  <c r="F552" i="1" a="1"/>
  <c r="F553" i="1" a="1"/>
  <c r="F554" i="1" a="1"/>
  <c r="F555" i="1" a="1"/>
  <c r="F556" i="1" a="1"/>
  <c r="F557" i="1" a="1"/>
  <c r="F558" i="1" a="1"/>
  <c r="F559" i="1" a="1"/>
  <c r="F560" i="1" a="1"/>
  <c r="F561" i="1" a="1"/>
  <c r="F562" i="1" a="1"/>
  <c r="F563" i="1" a="1"/>
  <c r="F564" i="1" a="1"/>
  <c r="F565" i="1" a="1"/>
  <c r="F566" i="1" a="1"/>
  <c r="F567" i="1" a="1"/>
  <c r="F568" i="1" a="1"/>
  <c r="F569" i="1" a="1"/>
  <c r="F570" i="1" a="1"/>
  <c r="F571" i="1" a="1"/>
  <c r="F572" i="1" a="1"/>
  <c r="F573" i="1" a="1"/>
  <c r="F574" i="1" a="1"/>
  <c r="F575" i="1" a="1"/>
  <c r="F576" i="1" a="1"/>
  <c r="F577" i="1" a="1"/>
  <c r="F578" i="1" a="1"/>
  <c r="F579" i="1" a="1"/>
  <c r="F580" i="1" a="1"/>
  <c r="F581" i="1" a="1"/>
  <c r="F582" i="1" a="1"/>
  <c r="F583" i="1" a="1"/>
  <c r="F584" i="1" a="1"/>
  <c r="F585" i="1" a="1"/>
  <c r="F586" i="1" a="1"/>
  <c r="F587" i="1" a="1"/>
  <c r="F588" i="1" a="1"/>
  <c r="F589" i="1" a="1"/>
  <c r="F590" i="1" a="1"/>
  <c r="F591" i="1" a="1"/>
  <c r="F592" i="1" a="1"/>
  <c r="F593" i="1" a="1"/>
  <c r="F594" i="1" a="1"/>
  <c r="F595" i="1" a="1"/>
  <c r="F596" i="1" a="1"/>
  <c r="F597" i="1" a="1"/>
  <c r="F598" i="1" a="1"/>
  <c r="F599" i="1" a="1"/>
  <c r="F600" i="1" a="1"/>
  <c r="F601" i="1" a="1"/>
  <c r="F602" i="1" a="1"/>
  <c r="F603" i="1" a="1"/>
  <c r="F604" i="1" a="1"/>
  <c r="F605" i="1" a="1"/>
  <c r="F606" i="1" a="1"/>
  <c r="F607" i="1" a="1"/>
  <c r="F608" i="1" a="1"/>
  <c r="F609" i="1" a="1"/>
  <c r="F610" i="1" a="1"/>
  <c r="F611" i="1" a="1"/>
  <c r="F612" i="1" a="1"/>
  <c r="F613" i="1" a="1"/>
  <c r="F614" i="1" a="1"/>
  <c r="F615" i="1" a="1"/>
  <c r="F616" i="1" a="1"/>
  <c r="F617" i="1" a="1"/>
  <c r="F618" i="1" a="1"/>
  <c r="F619" i="1" a="1"/>
  <c r="F620" i="1" a="1"/>
  <c r="F621" i="1" a="1"/>
  <c r="F622" i="1" a="1"/>
  <c r="F623" i="1" a="1"/>
  <c r="F624" i="1" a="1"/>
  <c r="F625" i="1" a="1"/>
  <c r="F626" i="1" a="1"/>
  <c r="F627" i="1" a="1"/>
  <c r="F628" i="1" a="1"/>
  <c r="F629" i="1" a="1"/>
  <c r="F630" i="1" a="1"/>
  <c r="F631" i="1" a="1"/>
  <c r="F632" i="1" a="1"/>
  <c r="F633" i="1" a="1"/>
  <c r="F634" i="1" a="1"/>
  <c r="F635" i="1" a="1"/>
  <c r="F636" i="1" a="1"/>
  <c r="F637" i="1" a="1"/>
  <c r="F638" i="1" a="1"/>
  <c r="F639" i="1" a="1"/>
  <c r="F640" i="1" a="1"/>
  <c r="F641" i="1" a="1"/>
  <c r="F642" i="1" a="1"/>
  <c r="F643" i="1" a="1"/>
  <c r="F644" i="1" a="1"/>
  <c r="F645" i="1" a="1"/>
  <c r="F646" i="1" a="1"/>
  <c r="F647" i="1" a="1"/>
  <c r="F648" i="1" a="1"/>
  <c r="F649" i="1" a="1"/>
  <c r="F650" i="1" a="1"/>
  <c r="F651" i="1" a="1"/>
  <c r="F652" i="1" a="1"/>
  <c r="F653" i="1" a="1"/>
  <c r="F654" i="1" a="1"/>
  <c r="F655" i="1" a="1"/>
  <c r="F656" i="1" a="1"/>
  <c r="F657" i="1" a="1"/>
  <c r="F658" i="1" a="1"/>
  <c r="F659" i="1" a="1"/>
  <c r="F660" i="1" a="1"/>
  <c r="F661" i="1" a="1"/>
  <c r="F662" i="1" a="1"/>
  <c r="F663" i="1" a="1"/>
  <c r="F664" i="1" a="1"/>
  <c r="F665" i="1" a="1"/>
  <c r="F666" i="1" a="1"/>
  <c r="F667" i="1" a="1"/>
  <c r="F668" i="1" a="1"/>
  <c r="F669" i="1" a="1"/>
  <c r="F670" i="1" a="1"/>
  <c r="F671" i="1" a="1"/>
  <c r="F672" i="1" a="1"/>
  <c r="F673" i="1" a="1"/>
  <c r="F674" i="1" a="1"/>
  <c r="F675" i="1" a="1"/>
  <c r="F676" i="1" a="1"/>
  <c r="F677" i="1" a="1"/>
  <c r="F678" i="1" a="1"/>
  <c r="F679" i="1" a="1"/>
  <c r="F680" i="1" a="1"/>
  <c r="F681" i="1" a="1"/>
  <c r="F682" i="1" a="1"/>
  <c r="F683" i="1" a="1"/>
  <c r="F684" i="1" a="1"/>
  <c r="F685" i="1" a="1"/>
  <c r="F686" i="1" a="1"/>
  <c r="F687" i="1" a="1"/>
  <c r="F688" i="1" a="1"/>
  <c r="F689" i="1" a="1"/>
  <c r="F690" i="1" a="1"/>
  <c r="F691" i="1" a="1"/>
  <c r="F692" i="1" a="1"/>
  <c r="F693" i="1" a="1"/>
  <c r="F694" i="1" a="1"/>
  <c r="F695" i="1" a="1"/>
  <c r="F696" i="1" a="1"/>
  <c r="F697" i="1" a="1"/>
  <c r="F698" i="1" a="1"/>
  <c r="F69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<sst xmlns="http://schemas.openxmlformats.org/spreadsheetml/2006/main" count="2799" uniqueCount="803">
  <si>
    <t>Lokasi</t>
  </si>
  <si>
    <t>001A</t>
  </si>
  <si>
    <t>001B1</t>
  </si>
  <si>
    <t>001B2</t>
  </si>
  <si>
    <t>001C</t>
  </si>
  <si>
    <t>001D</t>
  </si>
  <si>
    <t>002A1</t>
  </si>
  <si>
    <t>002C</t>
  </si>
  <si>
    <t>003A</t>
  </si>
  <si>
    <t>003B</t>
  </si>
  <si>
    <t>003C</t>
  </si>
  <si>
    <t>003D</t>
  </si>
  <si>
    <t>003E</t>
  </si>
  <si>
    <t>003F</t>
  </si>
  <si>
    <t>003G</t>
  </si>
  <si>
    <t>003H</t>
  </si>
  <si>
    <t>003I</t>
  </si>
  <si>
    <t>003J</t>
  </si>
  <si>
    <t>004A</t>
  </si>
  <si>
    <t>004B</t>
  </si>
  <si>
    <t>004C2</t>
  </si>
  <si>
    <t>004C3</t>
  </si>
  <si>
    <t>004D</t>
  </si>
  <si>
    <t>004E</t>
  </si>
  <si>
    <t>004G</t>
  </si>
  <si>
    <t>004G2</t>
  </si>
  <si>
    <t>004G3</t>
  </si>
  <si>
    <t>004I</t>
  </si>
  <si>
    <t>004J</t>
  </si>
  <si>
    <t>004J2</t>
  </si>
  <si>
    <t>004K</t>
  </si>
  <si>
    <t>004M3</t>
  </si>
  <si>
    <t>005A</t>
  </si>
  <si>
    <t>005B</t>
  </si>
  <si>
    <t>005C</t>
  </si>
  <si>
    <t>005D</t>
  </si>
  <si>
    <t>005E</t>
  </si>
  <si>
    <t>005F1</t>
  </si>
  <si>
    <t>005F2</t>
  </si>
  <si>
    <t>005F3</t>
  </si>
  <si>
    <t>005F4</t>
  </si>
  <si>
    <t>005G</t>
  </si>
  <si>
    <t>006A</t>
  </si>
  <si>
    <t>006B</t>
  </si>
  <si>
    <t>006C</t>
  </si>
  <si>
    <t>006C1</t>
  </si>
  <si>
    <t>006D</t>
  </si>
  <si>
    <t>006E</t>
  </si>
  <si>
    <t>006F</t>
  </si>
  <si>
    <t>006G</t>
  </si>
  <si>
    <t>007A2</t>
  </si>
  <si>
    <t>007A3</t>
  </si>
  <si>
    <t>007A4</t>
  </si>
  <si>
    <t>007D</t>
  </si>
  <si>
    <t>007E1</t>
  </si>
  <si>
    <t>007E2</t>
  </si>
  <si>
    <t>007F3</t>
  </si>
  <si>
    <t>007F4</t>
  </si>
  <si>
    <t>007F5</t>
  </si>
  <si>
    <t>008A</t>
  </si>
  <si>
    <t>008C</t>
  </si>
  <si>
    <t>008C2</t>
  </si>
  <si>
    <t>008D2</t>
  </si>
  <si>
    <t>008E1</t>
  </si>
  <si>
    <t>008E2</t>
  </si>
  <si>
    <t>008F</t>
  </si>
  <si>
    <t>008F9</t>
  </si>
  <si>
    <t>009A1</t>
  </si>
  <si>
    <t>009A2</t>
  </si>
  <si>
    <t>009B</t>
  </si>
  <si>
    <t>009B2</t>
  </si>
  <si>
    <t>009C</t>
  </si>
  <si>
    <t>009D2</t>
  </si>
  <si>
    <t>009D3</t>
  </si>
  <si>
    <t>009E</t>
  </si>
  <si>
    <t>009F</t>
  </si>
  <si>
    <t>009G1</t>
  </si>
  <si>
    <t>009G2</t>
  </si>
  <si>
    <t>010A</t>
  </si>
  <si>
    <t>010B</t>
  </si>
  <si>
    <t>010C1</t>
  </si>
  <si>
    <t>010C2</t>
  </si>
  <si>
    <t>011A</t>
  </si>
  <si>
    <t>011B</t>
  </si>
  <si>
    <t>011C1</t>
  </si>
  <si>
    <t>011C2</t>
  </si>
  <si>
    <t>011C3</t>
  </si>
  <si>
    <t>012A</t>
  </si>
  <si>
    <t>012A3</t>
  </si>
  <si>
    <t>012B</t>
  </si>
  <si>
    <t>012C</t>
  </si>
  <si>
    <t>012E</t>
  </si>
  <si>
    <t>012F</t>
  </si>
  <si>
    <t>013A</t>
  </si>
  <si>
    <t>013B</t>
  </si>
  <si>
    <t>013B1</t>
  </si>
  <si>
    <t>013C</t>
  </si>
  <si>
    <t>013D</t>
  </si>
  <si>
    <t>013F</t>
  </si>
  <si>
    <t>013G</t>
  </si>
  <si>
    <t>013G2</t>
  </si>
  <si>
    <t>014A</t>
  </si>
  <si>
    <t>014B</t>
  </si>
  <si>
    <t>014C</t>
  </si>
  <si>
    <t>014D</t>
  </si>
  <si>
    <t>014I1</t>
  </si>
  <si>
    <t>015A</t>
  </si>
  <si>
    <t>016A</t>
  </si>
  <si>
    <t>016B</t>
  </si>
  <si>
    <t>016B1</t>
  </si>
  <si>
    <t>017A</t>
  </si>
  <si>
    <t>017B1</t>
  </si>
  <si>
    <t>017B2</t>
  </si>
  <si>
    <t>017C</t>
  </si>
  <si>
    <t>017D1</t>
  </si>
  <si>
    <t>017D2</t>
  </si>
  <si>
    <t>017F</t>
  </si>
  <si>
    <t>017H</t>
  </si>
  <si>
    <t>017I</t>
  </si>
  <si>
    <t>017J1</t>
  </si>
  <si>
    <t>017K</t>
  </si>
  <si>
    <t>017L</t>
  </si>
  <si>
    <t>018A</t>
  </si>
  <si>
    <t>018C</t>
  </si>
  <si>
    <t>018C2</t>
  </si>
  <si>
    <t>018D</t>
  </si>
  <si>
    <t>018D2</t>
  </si>
  <si>
    <t>018F</t>
  </si>
  <si>
    <t>018F1</t>
  </si>
  <si>
    <t>019A</t>
  </si>
  <si>
    <t>019D</t>
  </si>
  <si>
    <t>019E1</t>
  </si>
  <si>
    <t>019E2</t>
  </si>
  <si>
    <t>019G3</t>
  </si>
  <si>
    <t>020A</t>
  </si>
  <si>
    <t>020B</t>
  </si>
  <si>
    <t>020C</t>
  </si>
  <si>
    <t>020D</t>
  </si>
  <si>
    <t>020E</t>
  </si>
  <si>
    <t>020F1</t>
  </si>
  <si>
    <t>020F2</t>
  </si>
  <si>
    <t>020G</t>
  </si>
  <si>
    <t>020H</t>
  </si>
  <si>
    <t>020K</t>
  </si>
  <si>
    <t>021B</t>
  </si>
  <si>
    <t>023A</t>
  </si>
  <si>
    <t>023B</t>
  </si>
  <si>
    <t>023C</t>
  </si>
  <si>
    <t>023D</t>
  </si>
  <si>
    <t>023E</t>
  </si>
  <si>
    <t>024A</t>
  </si>
  <si>
    <t>024B</t>
  </si>
  <si>
    <t>024C</t>
  </si>
  <si>
    <t>024D</t>
  </si>
  <si>
    <t>024F1</t>
  </si>
  <si>
    <t>024F2</t>
  </si>
  <si>
    <t>024G2</t>
  </si>
  <si>
    <t>024G3</t>
  </si>
  <si>
    <t>024I</t>
  </si>
  <si>
    <t>024K</t>
  </si>
  <si>
    <t>025A</t>
  </si>
  <si>
    <t>025B</t>
  </si>
  <si>
    <t>025C</t>
  </si>
  <si>
    <t>025D</t>
  </si>
  <si>
    <t>025E</t>
  </si>
  <si>
    <t>025F</t>
  </si>
  <si>
    <t>025G</t>
  </si>
  <si>
    <t>026A</t>
  </si>
  <si>
    <t>026B</t>
  </si>
  <si>
    <t>026C</t>
  </si>
  <si>
    <t>026D</t>
  </si>
  <si>
    <t>026H</t>
  </si>
  <si>
    <t>027A</t>
  </si>
  <si>
    <t>027C2</t>
  </si>
  <si>
    <t>027C3</t>
  </si>
  <si>
    <t>027F</t>
  </si>
  <si>
    <t>027H</t>
  </si>
  <si>
    <t>027I</t>
  </si>
  <si>
    <t>027K</t>
  </si>
  <si>
    <t>028A</t>
  </si>
  <si>
    <t>028A1</t>
  </si>
  <si>
    <t>028B</t>
  </si>
  <si>
    <t>028D</t>
  </si>
  <si>
    <t>028E</t>
  </si>
  <si>
    <t>028P</t>
  </si>
  <si>
    <t>028P1</t>
  </si>
  <si>
    <t>028Q</t>
  </si>
  <si>
    <t>028Q1</t>
  </si>
  <si>
    <t>029A2</t>
  </si>
  <si>
    <t>029A3</t>
  </si>
  <si>
    <t>029C1</t>
  </si>
  <si>
    <t>029C2</t>
  </si>
  <si>
    <t>029E</t>
  </si>
  <si>
    <t>029E2</t>
  </si>
  <si>
    <t>029E3</t>
  </si>
  <si>
    <t>029F3</t>
  </si>
  <si>
    <t>029F4</t>
  </si>
  <si>
    <t>029G</t>
  </si>
  <si>
    <t>030B1</t>
  </si>
  <si>
    <t>030B2</t>
  </si>
  <si>
    <t>030C</t>
  </si>
  <si>
    <t>030C1</t>
  </si>
  <si>
    <t>030E</t>
  </si>
  <si>
    <t>030H</t>
  </si>
  <si>
    <t>030H2</t>
  </si>
  <si>
    <t>030H3</t>
  </si>
  <si>
    <t>031A2</t>
  </si>
  <si>
    <t>031B1</t>
  </si>
  <si>
    <t>031B2</t>
  </si>
  <si>
    <t>031E</t>
  </si>
  <si>
    <t>032A</t>
  </si>
  <si>
    <t>032B</t>
  </si>
  <si>
    <t>032C</t>
  </si>
  <si>
    <t>032D</t>
  </si>
  <si>
    <t>032E</t>
  </si>
  <si>
    <t>033B1</t>
  </si>
  <si>
    <t>033B2</t>
  </si>
  <si>
    <t>034C</t>
  </si>
  <si>
    <t>034D1</t>
  </si>
  <si>
    <t>034F</t>
  </si>
  <si>
    <t>035A</t>
  </si>
  <si>
    <t>035B</t>
  </si>
  <si>
    <t>035D</t>
  </si>
  <si>
    <t>035D1</t>
  </si>
  <si>
    <t>035D2</t>
  </si>
  <si>
    <t>036A</t>
  </si>
  <si>
    <t>036A1</t>
  </si>
  <si>
    <t>036A2</t>
  </si>
  <si>
    <t>036A3</t>
  </si>
  <si>
    <t>036A4</t>
  </si>
  <si>
    <t>036B1</t>
  </si>
  <si>
    <t>036B2</t>
  </si>
  <si>
    <t>036B3</t>
  </si>
  <si>
    <t>036C</t>
  </si>
  <si>
    <t>036D</t>
  </si>
  <si>
    <t>036E</t>
  </si>
  <si>
    <t>036F</t>
  </si>
  <si>
    <t>036F1</t>
  </si>
  <si>
    <t>036G</t>
  </si>
  <si>
    <t>036H1</t>
  </si>
  <si>
    <t>036H2</t>
  </si>
  <si>
    <t>036H3</t>
  </si>
  <si>
    <t>036I</t>
  </si>
  <si>
    <t>036I1</t>
  </si>
  <si>
    <t>036R</t>
  </si>
  <si>
    <t>037A</t>
  </si>
  <si>
    <t>037B</t>
  </si>
  <si>
    <t>037C2</t>
  </si>
  <si>
    <t>037D</t>
  </si>
  <si>
    <t>038A</t>
  </si>
  <si>
    <t>038A3</t>
  </si>
  <si>
    <t>038A4</t>
  </si>
  <si>
    <t>038B</t>
  </si>
  <si>
    <t>038B2</t>
  </si>
  <si>
    <t>038B3</t>
  </si>
  <si>
    <t>038D1</t>
  </si>
  <si>
    <t>038D3</t>
  </si>
  <si>
    <t>038D4</t>
  </si>
  <si>
    <t>038F</t>
  </si>
  <si>
    <t>038F1</t>
  </si>
  <si>
    <t>039C</t>
  </si>
  <si>
    <t>039E4</t>
  </si>
  <si>
    <t>039E5</t>
  </si>
  <si>
    <t>039F</t>
  </si>
  <si>
    <t>040C</t>
  </si>
  <si>
    <t>040C1</t>
  </si>
  <si>
    <t>041A2</t>
  </si>
  <si>
    <t>041A3</t>
  </si>
  <si>
    <t>041A4</t>
  </si>
  <si>
    <t>041B2</t>
  </si>
  <si>
    <t>041B3</t>
  </si>
  <si>
    <t>041B4</t>
  </si>
  <si>
    <t>041G</t>
  </si>
  <si>
    <t>042A</t>
  </si>
  <si>
    <t>042A1</t>
  </si>
  <si>
    <t>042B</t>
  </si>
  <si>
    <t>042B2</t>
  </si>
  <si>
    <t>042B3</t>
  </si>
  <si>
    <t>042D1</t>
  </si>
  <si>
    <t>042D2</t>
  </si>
  <si>
    <t>042F1</t>
  </si>
  <si>
    <t>042F2</t>
  </si>
  <si>
    <t>042F3</t>
  </si>
  <si>
    <t>043A9</t>
  </si>
  <si>
    <t>043B</t>
  </si>
  <si>
    <t>043C1</t>
  </si>
  <si>
    <t>043E</t>
  </si>
  <si>
    <t>043G</t>
  </si>
  <si>
    <t>043G2</t>
  </si>
  <si>
    <t>043G3</t>
  </si>
  <si>
    <t>044A2</t>
  </si>
  <si>
    <t>044A3</t>
  </si>
  <si>
    <t>044A4</t>
  </si>
  <si>
    <t>044D2</t>
  </si>
  <si>
    <t>044D3</t>
  </si>
  <si>
    <t>044D4</t>
  </si>
  <si>
    <t>044D9</t>
  </si>
  <si>
    <t>045C3</t>
  </si>
  <si>
    <t>045C4</t>
  </si>
  <si>
    <t>045D</t>
  </si>
  <si>
    <t>045F1</t>
  </si>
  <si>
    <t>045F2</t>
  </si>
  <si>
    <t>046A2</t>
  </si>
  <si>
    <t>046A3</t>
  </si>
  <si>
    <t>046A4</t>
  </si>
  <si>
    <t>046B</t>
  </si>
  <si>
    <t>046B1</t>
  </si>
  <si>
    <t>046B2</t>
  </si>
  <si>
    <t>046D</t>
  </si>
  <si>
    <t>046E</t>
  </si>
  <si>
    <t>046P</t>
  </si>
  <si>
    <t>046P1</t>
  </si>
  <si>
    <t>047A2</t>
  </si>
  <si>
    <t>047A3</t>
  </si>
  <si>
    <t>047C</t>
  </si>
  <si>
    <t>047D</t>
  </si>
  <si>
    <t>047E</t>
  </si>
  <si>
    <t>047F1</t>
  </si>
  <si>
    <t>047I1</t>
  </si>
  <si>
    <t>047I2</t>
  </si>
  <si>
    <t>047J1</t>
  </si>
  <si>
    <t>047K1</t>
  </si>
  <si>
    <t>048A</t>
  </si>
  <si>
    <t>048B</t>
  </si>
  <si>
    <t>048C</t>
  </si>
  <si>
    <t>048D</t>
  </si>
  <si>
    <t>048F</t>
  </si>
  <si>
    <t>048G2</t>
  </si>
  <si>
    <t>048G3</t>
  </si>
  <si>
    <t>048I</t>
  </si>
  <si>
    <t>048K</t>
  </si>
  <si>
    <t>049A1</t>
  </si>
  <si>
    <t>049A2</t>
  </si>
  <si>
    <t>049B</t>
  </si>
  <si>
    <t>049C1</t>
  </si>
  <si>
    <t>049C2</t>
  </si>
  <si>
    <t>049C3</t>
  </si>
  <si>
    <t>049D</t>
  </si>
  <si>
    <t>049E</t>
  </si>
  <si>
    <t>049F</t>
  </si>
  <si>
    <t>049H</t>
  </si>
  <si>
    <t>050B2A</t>
  </si>
  <si>
    <t>050B2B</t>
  </si>
  <si>
    <t>051A1</t>
  </si>
  <si>
    <t>051A2</t>
  </si>
  <si>
    <t>051B</t>
  </si>
  <si>
    <t>051C</t>
  </si>
  <si>
    <t>051E</t>
  </si>
  <si>
    <t>051E1</t>
  </si>
  <si>
    <t>051E2</t>
  </si>
  <si>
    <t>052A</t>
  </si>
  <si>
    <t>052B</t>
  </si>
  <si>
    <t>052C</t>
  </si>
  <si>
    <t>052D1</t>
  </si>
  <si>
    <t>052D2</t>
  </si>
  <si>
    <t>052E1</t>
  </si>
  <si>
    <t>052E2</t>
  </si>
  <si>
    <t>052F</t>
  </si>
  <si>
    <t>052G</t>
  </si>
  <si>
    <t>052H</t>
  </si>
  <si>
    <t>052I</t>
  </si>
  <si>
    <t>053A</t>
  </si>
  <si>
    <t>054A</t>
  </si>
  <si>
    <t>054B1</t>
  </si>
  <si>
    <t>054B2</t>
  </si>
  <si>
    <t>054B3</t>
  </si>
  <si>
    <t>054C</t>
  </si>
  <si>
    <t>054D</t>
  </si>
  <si>
    <t>054E</t>
  </si>
  <si>
    <t>054G</t>
  </si>
  <si>
    <t>054H</t>
  </si>
  <si>
    <t>054I</t>
  </si>
  <si>
    <t>055A2</t>
  </si>
  <si>
    <t>055A3</t>
  </si>
  <si>
    <t>055D</t>
  </si>
  <si>
    <t>055E</t>
  </si>
  <si>
    <t>055F</t>
  </si>
  <si>
    <t>055F1</t>
  </si>
  <si>
    <t>055H</t>
  </si>
  <si>
    <t>055I</t>
  </si>
  <si>
    <t>055K</t>
  </si>
  <si>
    <t>055K2</t>
  </si>
  <si>
    <t>055KS</t>
  </si>
  <si>
    <t>056A</t>
  </si>
  <si>
    <t>056B</t>
  </si>
  <si>
    <t>056C</t>
  </si>
  <si>
    <t>056D1</t>
  </si>
  <si>
    <t>056G1</t>
  </si>
  <si>
    <t>056G2</t>
  </si>
  <si>
    <t>057A</t>
  </si>
  <si>
    <t>057B</t>
  </si>
  <si>
    <t>057B1</t>
  </si>
  <si>
    <t>057C</t>
  </si>
  <si>
    <t>057D</t>
  </si>
  <si>
    <t>057E</t>
  </si>
  <si>
    <t>059C</t>
  </si>
  <si>
    <t>059D</t>
  </si>
  <si>
    <t>060A</t>
  </si>
  <si>
    <t>060C</t>
  </si>
  <si>
    <t>061A2</t>
  </si>
  <si>
    <t>061A3</t>
  </si>
  <si>
    <t>061C2</t>
  </si>
  <si>
    <t>061C3</t>
  </si>
  <si>
    <t>061C4</t>
  </si>
  <si>
    <t>061C5</t>
  </si>
  <si>
    <t>061E1</t>
  </si>
  <si>
    <t>061E2</t>
  </si>
  <si>
    <t>061G</t>
  </si>
  <si>
    <t>062A1</t>
  </si>
  <si>
    <t>062A3</t>
  </si>
  <si>
    <t>062D</t>
  </si>
  <si>
    <t>062E</t>
  </si>
  <si>
    <t>062F</t>
  </si>
  <si>
    <t>062F1</t>
  </si>
  <si>
    <t>062G1</t>
  </si>
  <si>
    <t>062G2</t>
  </si>
  <si>
    <t>062G3</t>
  </si>
  <si>
    <t>062G4</t>
  </si>
  <si>
    <t>062I</t>
  </si>
  <si>
    <t>062K9</t>
  </si>
  <si>
    <t>062M</t>
  </si>
  <si>
    <t>062N</t>
  </si>
  <si>
    <t>063A</t>
  </si>
  <si>
    <t>063B</t>
  </si>
  <si>
    <t>063E</t>
  </si>
  <si>
    <t>063G2</t>
  </si>
  <si>
    <t>063G3</t>
  </si>
  <si>
    <t>063I</t>
  </si>
  <si>
    <t>064A</t>
  </si>
  <si>
    <t>064B</t>
  </si>
  <si>
    <t>064C</t>
  </si>
  <si>
    <t>064D</t>
  </si>
  <si>
    <t>065A2</t>
  </si>
  <si>
    <t>065A3</t>
  </si>
  <si>
    <t>065A4</t>
  </si>
  <si>
    <t>065A5</t>
  </si>
  <si>
    <t>065B4</t>
  </si>
  <si>
    <t>065B5</t>
  </si>
  <si>
    <t>065C2</t>
  </si>
  <si>
    <t>065C3</t>
  </si>
  <si>
    <t>065D2</t>
  </si>
  <si>
    <t>066A</t>
  </si>
  <si>
    <t>066B</t>
  </si>
  <si>
    <t>066B2</t>
  </si>
  <si>
    <t>066D</t>
  </si>
  <si>
    <t>066F</t>
  </si>
  <si>
    <t>066G</t>
  </si>
  <si>
    <t>066G1</t>
  </si>
  <si>
    <t>066H1</t>
  </si>
  <si>
    <t>066L</t>
  </si>
  <si>
    <t>066N</t>
  </si>
  <si>
    <t>066P</t>
  </si>
  <si>
    <t>066Q</t>
  </si>
  <si>
    <t>066Q2</t>
  </si>
  <si>
    <t>066T</t>
  </si>
  <si>
    <t>067A</t>
  </si>
  <si>
    <t>067B</t>
  </si>
  <si>
    <t>067C</t>
  </si>
  <si>
    <t>067D</t>
  </si>
  <si>
    <t>067E</t>
  </si>
  <si>
    <t>067F</t>
  </si>
  <si>
    <t>067G</t>
  </si>
  <si>
    <t>068A</t>
  </si>
  <si>
    <t>068B</t>
  </si>
  <si>
    <t>068C</t>
  </si>
  <si>
    <t>068D</t>
  </si>
  <si>
    <t>069A</t>
  </si>
  <si>
    <t>069A2</t>
  </si>
  <si>
    <t>069B2</t>
  </si>
  <si>
    <t>069C3</t>
  </si>
  <si>
    <t>069C5</t>
  </si>
  <si>
    <t>069C6</t>
  </si>
  <si>
    <t>069D1</t>
  </si>
  <si>
    <t>069E1</t>
  </si>
  <si>
    <t>069E2</t>
  </si>
  <si>
    <t>070A</t>
  </si>
  <si>
    <t>070B3</t>
  </si>
  <si>
    <t>070B4</t>
  </si>
  <si>
    <t>070D</t>
  </si>
  <si>
    <t>070E4</t>
  </si>
  <si>
    <t>070H</t>
  </si>
  <si>
    <t>070I</t>
  </si>
  <si>
    <t>070J</t>
  </si>
  <si>
    <t>070L1</t>
  </si>
  <si>
    <t>070M1</t>
  </si>
  <si>
    <t>071A</t>
  </si>
  <si>
    <t>071B</t>
  </si>
  <si>
    <t>071B1</t>
  </si>
  <si>
    <t>072A</t>
  </si>
  <si>
    <t>072B1</t>
  </si>
  <si>
    <t>072B2</t>
  </si>
  <si>
    <t>072C</t>
  </si>
  <si>
    <t>072D1</t>
  </si>
  <si>
    <t>072D2</t>
  </si>
  <si>
    <t>072F</t>
  </si>
  <si>
    <t>072G</t>
  </si>
  <si>
    <t>072H1</t>
  </si>
  <si>
    <t>072L</t>
  </si>
  <si>
    <t>073A</t>
  </si>
  <si>
    <t>073A1</t>
  </si>
  <si>
    <t>073B</t>
  </si>
  <si>
    <t>073C</t>
  </si>
  <si>
    <t>073D1</t>
  </si>
  <si>
    <t>073E</t>
  </si>
  <si>
    <t>073F</t>
  </si>
  <si>
    <t>073L</t>
  </si>
  <si>
    <t>074A</t>
  </si>
  <si>
    <t>074B</t>
  </si>
  <si>
    <t>074C</t>
  </si>
  <si>
    <t>074D</t>
  </si>
  <si>
    <t>074E</t>
  </si>
  <si>
    <t>074F</t>
  </si>
  <si>
    <t>074G</t>
  </si>
  <si>
    <t>074H1</t>
  </si>
  <si>
    <t>075A</t>
  </si>
  <si>
    <t>075B</t>
  </si>
  <si>
    <t>075C</t>
  </si>
  <si>
    <t>075E</t>
  </si>
  <si>
    <t>075F</t>
  </si>
  <si>
    <t>075G</t>
  </si>
  <si>
    <t>075H</t>
  </si>
  <si>
    <t>075I</t>
  </si>
  <si>
    <t>076A5</t>
  </si>
  <si>
    <t>076B2</t>
  </si>
  <si>
    <t>076C1</t>
  </si>
  <si>
    <t>076D</t>
  </si>
  <si>
    <t>076E</t>
  </si>
  <si>
    <t>076E1</t>
  </si>
  <si>
    <t>076E2</t>
  </si>
  <si>
    <t>076H</t>
  </si>
  <si>
    <t>076I</t>
  </si>
  <si>
    <t>076J</t>
  </si>
  <si>
    <t>077A</t>
  </si>
  <si>
    <t>077B2</t>
  </si>
  <si>
    <t>077C</t>
  </si>
  <si>
    <t>077C1</t>
  </si>
  <si>
    <t>077D1</t>
  </si>
  <si>
    <t>077E</t>
  </si>
  <si>
    <t>078A</t>
  </si>
  <si>
    <t>078B</t>
  </si>
  <si>
    <t>078C</t>
  </si>
  <si>
    <t>078D2</t>
  </si>
  <si>
    <t>078E2</t>
  </si>
  <si>
    <t>078F</t>
  </si>
  <si>
    <t>078G</t>
  </si>
  <si>
    <t>078I</t>
  </si>
  <si>
    <t>078J</t>
  </si>
  <si>
    <t>078L</t>
  </si>
  <si>
    <t>078M</t>
  </si>
  <si>
    <t>079A</t>
  </si>
  <si>
    <t>079A1</t>
  </si>
  <si>
    <t>079B</t>
  </si>
  <si>
    <t>079C</t>
  </si>
  <si>
    <t>079E</t>
  </si>
  <si>
    <t>079I</t>
  </si>
  <si>
    <t>079J</t>
  </si>
  <si>
    <t>080A1</t>
  </si>
  <si>
    <t>080B1</t>
  </si>
  <si>
    <t>080C</t>
  </si>
  <si>
    <t>080C1</t>
  </si>
  <si>
    <t>080E</t>
  </si>
  <si>
    <t>080F</t>
  </si>
  <si>
    <t>080H</t>
  </si>
  <si>
    <t>081C1</t>
  </si>
  <si>
    <t>081D1</t>
  </si>
  <si>
    <t>082B</t>
  </si>
  <si>
    <t>082B2</t>
  </si>
  <si>
    <t>082B3</t>
  </si>
  <si>
    <t>082C</t>
  </si>
  <si>
    <t>082G</t>
  </si>
  <si>
    <t>082I</t>
  </si>
  <si>
    <t>082J</t>
  </si>
  <si>
    <t>082J4</t>
  </si>
  <si>
    <t>082J5</t>
  </si>
  <si>
    <t>082L</t>
  </si>
  <si>
    <t>083A</t>
  </si>
  <si>
    <t>083A1</t>
  </si>
  <si>
    <t>083C</t>
  </si>
  <si>
    <t>083D</t>
  </si>
  <si>
    <t>083E</t>
  </si>
  <si>
    <t>083F</t>
  </si>
  <si>
    <t>083H</t>
  </si>
  <si>
    <t>083J</t>
  </si>
  <si>
    <t>084A</t>
  </si>
  <si>
    <t>084B</t>
  </si>
  <si>
    <t>084C1</t>
  </si>
  <si>
    <t>084D1</t>
  </si>
  <si>
    <t>084D2</t>
  </si>
  <si>
    <t>084E</t>
  </si>
  <si>
    <t>084F</t>
  </si>
  <si>
    <t>084G</t>
  </si>
  <si>
    <t>084H</t>
  </si>
  <si>
    <t>085A</t>
  </si>
  <si>
    <t>085C</t>
  </si>
  <si>
    <t>085D</t>
  </si>
  <si>
    <t>085E</t>
  </si>
  <si>
    <t>085G</t>
  </si>
  <si>
    <t>085H</t>
  </si>
  <si>
    <t>085H1</t>
  </si>
  <si>
    <t>085I</t>
  </si>
  <si>
    <t>085M</t>
  </si>
  <si>
    <t>086A</t>
  </si>
  <si>
    <t>086A1</t>
  </si>
  <si>
    <t>086A2</t>
  </si>
  <si>
    <t>086B</t>
  </si>
  <si>
    <t>086C</t>
  </si>
  <si>
    <t>086D</t>
  </si>
  <si>
    <t>086E</t>
  </si>
  <si>
    <t>086F</t>
  </si>
  <si>
    <t>086F1</t>
  </si>
  <si>
    <t>087B3</t>
  </si>
  <si>
    <t>087N1</t>
  </si>
  <si>
    <t>087N2</t>
  </si>
  <si>
    <t>087N3</t>
  </si>
  <si>
    <t>088A</t>
  </si>
  <si>
    <t>088B</t>
  </si>
  <si>
    <t>088C2</t>
  </si>
  <si>
    <t>088C3</t>
  </si>
  <si>
    <t>088D</t>
  </si>
  <si>
    <t>088D2</t>
  </si>
  <si>
    <t>088D3</t>
  </si>
  <si>
    <t>089A</t>
  </si>
  <si>
    <t>089B</t>
  </si>
  <si>
    <t>089C</t>
  </si>
  <si>
    <t>089D1</t>
  </si>
  <si>
    <t>089E</t>
  </si>
  <si>
    <t>089F</t>
  </si>
  <si>
    <t>090C</t>
  </si>
  <si>
    <t>090D</t>
  </si>
  <si>
    <t>090E</t>
  </si>
  <si>
    <t>091A</t>
  </si>
  <si>
    <t>091C</t>
  </si>
  <si>
    <t>092C1</t>
  </si>
  <si>
    <t>092D</t>
  </si>
  <si>
    <t>092E1</t>
  </si>
  <si>
    <t>092E2</t>
  </si>
  <si>
    <t>092F</t>
  </si>
  <si>
    <t>092G</t>
  </si>
  <si>
    <t>092H</t>
  </si>
  <si>
    <t>092I</t>
  </si>
  <si>
    <t>093B</t>
  </si>
  <si>
    <t>093C</t>
  </si>
  <si>
    <t>093D</t>
  </si>
  <si>
    <t>093E</t>
  </si>
  <si>
    <t>093G</t>
  </si>
  <si>
    <t>093H</t>
  </si>
  <si>
    <t>094B1</t>
  </si>
  <si>
    <t>094C</t>
  </si>
  <si>
    <t>094D</t>
  </si>
  <si>
    <t>094E</t>
  </si>
  <si>
    <t>094F</t>
  </si>
  <si>
    <t>094H</t>
  </si>
  <si>
    <t>094I9</t>
  </si>
  <si>
    <t>095A</t>
  </si>
  <si>
    <t>095B</t>
  </si>
  <si>
    <t>095D</t>
  </si>
  <si>
    <t>095F</t>
  </si>
  <si>
    <t>095F1</t>
  </si>
  <si>
    <t>095F2</t>
  </si>
  <si>
    <t>095H</t>
  </si>
  <si>
    <t>096G5</t>
  </si>
  <si>
    <t>096G6</t>
  </si>
  <si>
    <t>096H</t>
  </si>
  <si>
    <t>096I</t>
  </si>
  <si>
    <t>096J1</t>
  </si>
  <si>
    <t>096J2</t>
  </si>
  <si>
    <t>097A</t>
  </si>
  <si>
    <t>097A1</t>
  </si>
  <si>
    <t>097B</t>
  </si>
  <si>
    <t>097C</t>
  </si>
  <si>
    <t>097D</t>
  </si>
  <si>
    <t>097D1</t>
  </si>
  <si>
    <t>097D4</t>
  </si>
  <si>
    <t>097F</t>
  </si>
  <si>
    <t>097G</t>
  </si>
  <si>
    <t>097H</t>
  </si>
  <si>
    <t>097M</t>
  </si>
  <si>
    <t>098A1</t>
  </si>
  <si>
    <t>098B1</t>
  </si>
  <si>
    <t>098C</t>
  </si>
  <si>
    <t>098F</t>
  </si>
  <si>
    <t>098G</t>
  </si>
  <si>
    <t>098H</t>
  </si>
  <si>
    <t>098I</t>
  </si>
  <si>
    <t>098I1</t>
  </si>
  <si>
    <t>098M</t>
  </si>
  <si>
    <t>098M1</t>
  </si>
  <si>
    <t>099A</t>
  </si>
  <si>
    <t>099B</t>
  </si>
  <si>
    <t>099B1</t>
  </si>
  <si>
    <t>099C</t>
  </si>
  <si>
    <t>099D</t>
  </si>
  <si>
    <t>099E</t>
  </si>
  <si>
    <t>099G</t>
  </si>
  <si>
    <t>099K</t>
  </si>
  <si>
    <t>099L</t>
  </si>
  <si>
    <t>100A</t>
  </si>
  <si>
    <t>100B</t>
  </si>
  <si>
    <t>100C</t>
  </si>
  <si>
    <t>Wilayah</t>
  </si>
  <si>
    <t>Luas</t>
  </si>
  <si>
    <t>Status lokasi</t>
  </si>
  <si>
    <t>Kode bibit lokasi</t>
  </si>
  <si>
    <t>Jenis</t>
  </si>
  <si>
    <t>Kelas</t>
  </si>
  <si>
    <t>AW01</t>
  </si>
  <si>
    <t>NSFC2602</t>
  </si>
  <si>
    <t>NSGP3SS1</t>
  </si>
  <si>
    <t>NSFC2604</t>
  </si>
  <si>
    <t>NSBK2602</t>
  </si>
  <si>
    <t/>
  </si>
  <si>
    <t>NSGP3CK1</t>
  </si>
  <si>
    <t>NSFC2603</t>
  </si>
  <si>
    <t>NSSC2510</t>
  </si>
  <si>
    <t>NSFC2601</t>
  </si>
  <si>
    <t>NSSC2508</t>
  </si>
  <si>
    <t>NSSC2509</t>
  </si>
  <si>
    <t>NSFC2511</t>
  </si>
  <si>
    <t>NSSC2511</t>
  </si>
  <si>
    <t>NSFC2510</t>
  </si>
  <si>
    <t>NSFC2607</t>
  </si>
  <si>
    <t>NSBK2511</t>
  </si>
  <si>
    <t>NSBK2601</t>
  </si>
  <si>
    <t>NSST2607</t>
  </si>
  <si>
    <t>NSFC2512</t>
  </si>
  <si>
    <t>NSBK2607</t>
  </si>
  <si>
    <t>NSFC2506</t>
  </si>
  <si>
    <t>NSGP3SB1</t>
  </si>
  <si>
    <t>NSSC2604</t>
  </si>
  <si>
    <t>NSSC2603</t>
  </si>
  <si>
    <t>NSSC2601</t>
  </si>
  <si>
    <t>NSFC2505</t>
  </si>
  <si>
    <t>NSSC2605</t>
  </si>
  <si>
    <t>NSBB2607</t>
  </si>
  <si>
    <t>NSGP3SK1</t>
  </si>
  <si>
    <t>NSFC2605</t>
  </si>
  <si>
    <t>NSGP3CM1</t>
  </si>
  <si>
    <t>NSFC2508</t>
  </si>
  <si>
    <t>NSFC2507</t>
  </si>
  <si>
    <t>NSBB2601</t>
  </si>
  <si>
    <t>NSSC2607</t>
  </si>
  <si>
    <t>NSSC2608</t>
  </si>
  <si>
    <t>NSBB2608</t>
  </si>
  <si>
    <t>NSFC2503</t>
  </si>
  <si>
    <t>NSFC2502</t>
  </si>
  <si>
    <t>NSST2608</t>
  </si>
  <si>
    <t>NSSC2512</t>
  </si>
  <si>
    <t>AW02</t>
  </si>
  <si>
    <t>NSBK2604</t>
  </si>
  <si>
    <t>NSBK2512</t>
  </si>
  <si>
    <t>NSBK2606</t>
  </si>
  <si>
    <t>NSFC2608</t>
  </si>
  <si>
    <t>AW04</t>
  </si>
  <si>
    <t>NSBB2606</t>
  </si>
  <si>
    <t>NSFC2606</t>
  </si>
  <si>
    <t>NSBK2608</t>
  </si>
  <si>
    <t>NSFC2509</t>
  </si>
  <si>
    <t>NSBK2605</t>
  </si>
  <si>
    <t>NSSC2602</t>
  </si>
  <si>
    <t>NSBB2604</t>
  </si>
  <si>
    <t>NSSC2606</t>
  </si>
  <si>
    <t>NSFC2504</t>
  </si>
  <si>
    <t>NSCL2508</t>
  </si>
  <si>
    <t>NSST2606</t>
  </si>
  <si>
    <t>NSBB2605</t>
  </si>
  <si>
    <t>SAG1</t>
  </si>
  <si>
    <t>NSCL1505</t>
  </si>
  <si>
    <t>NSCL2303</t>
  </si>
  <si>
    <t>NSBK2006</t>
  </si>
  <si>
    <t>NSBK1802</t>
  </si>
  <si>
    <t>NSCL1412</t>
  </si>
  <si>
    <t>NSBK2002</t>
  </si>
  <si>
    <t>NSCL1504</t>
  </si>
  <si>
    <t>NSCL1604</t>
  </si>
  <si>
    <t>NSFC1507</t>
  </si>
  <si>
    <t>NSGP3ANS</t>
  </si>
  <si>
    <t>NSCL1712</t>
  </si>
  <si>
    <t>NSBK1902</t>
  </si>
  <si>
    <t>ARS1</t>
  </si>
  <si>
    <t>NSFC1812</t>
  </si>
  <si>
    <t>NSBK1602</t>
  </si>
  <si>
    <t>NSCL1509</t>
  </si>
  <si>
    <t>NSCL1502</t>
  </si>
  <si>
    <t>NSCL1506</t>
  </si>
  <si>
    <t>AW03</t>
  </si>
  <si>
    <t>NSCL2512</t>
  </si>
  <si>
    <t>NSBB2512</t>
  </si>
  <si>
    <t>NSBK1201</t>
  </si>
  <si>
    <t>NSCL2504</t>
  </si>
  <si>
    <t>NSBB2510</t>
  </si>
  <si>
    <t>AW05</t>
  </si>
  <si>
    <t>NSBB2603</t>
  </si>
  <si>
    <t>AW06</t>
  </si>
  <si>
    <t>NSBB2511</t>
  </si>
  <si>
    <t>AW07</t>
  </si>
  <si>
    <t>NSBK2603</t>
  </si>
  <si>
    <t>NSBK2509</t>
  </si>
  <si>
    <t>NSBB2602</t>
  </si>
  <si>
    <t>NSBK1712</t>
  </si>
  <si>
    <t>NSBK2004</t>
  </si>
  <si>
    <t>ACD1</t>
  </si>
  <si>
    <t>NSST2601</t>
  </si>
  <si>
    <t>NSBK2510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</si>
</sst>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D3F27-E960-4DA5-8B91-5F8CDA577783}" name="Table2" displayName="Table2" ref="A1:G699" totalsRowShown="0" headerRowDxfId="9" headerRowBorderDxfId="8" tableBorderDxfId="7">
  <autoFilter ref="A1:G699" xr:uid="{A79D3F27-E960-4DA5-8B91-5F8CDA577783}"/>
  <tableColumns count="7">
    <tableColumn id="1" xr3:uid="{D3F54EF6-035E-4F6F-8A73-2109E767D468}" name="Lokasi" dataDxfId="6"/>
    <tableColumn id="2" xr3:uid="{D5DA94B5-0D1A-4856-B87F-B775EE13C3F8}" name="Wilayah" dataDxfId="5"/>
    <tableColumn id="3" xr3:uid="{534C569B-AA86-4326-BBA5-9A04F9A5F349}" name="Luas" dataDxfId="4"/>
    <tableColumn id="4" xr3:uid="{1E26A894-F57B-4A14-B700-3888B84EC9CD}" name="Status lokasi" dataDxfId="3"/>
    <tableColumn id="5" xr3:uid="{4767FDE2-5DFC-405A-99CA-6D90737DA2CD}" name="Kode bibit lokasi" dataDxfId="2"/>
    <tableColumn id="7" xr3:uid="{B1A2D2DF-9968-424F-A204-20D0BF15C13C}" name="Jenis" dataDxfId="1">
      <calculatedColumnFormula array="1">_xlfn.SWITCH(MID(E2,6,1),"S","Sucker","C","Crown","N","Nursery","")</calculatedColumnFormula>
    </tableColumn>
    <tableColumn id="8" xr3:uid="{E30194EF-E288-4BBD-8543-AF8883244028}" name="Kelas" dataDxfId="0">
      <calculatedColumnFormula array="1">_xlfn.SWITCH(MID(E2,7,1),"S","Sedang","K","Kecil","B","Besar","")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D7C7-4FCE-468D-8541-E6E61C38BA82}">
  <dimension ref="A1:G699"/>
  <sheetViews>
    <sheetView tabSelected="1" workbookViewId="0">
      <selection activeCell="O15" sqref="O15"/>
    </sheetView>
  </sheetViews>
  <sheetFormatPr defaultRowHeight="14.4" x14ac:dyDescent="0.3"/>
  <cols>
    <col min="2" max="2" width="9.6640625" customWidth="1"/>
    <col min="4" max="4" width="13.33203125" customWidth="1"/>
    <col min="5" max="5" width="16.6640625" customWidth="1"/>
    <col min="6" max="6" width="17.5546875" customWidth="1"/>
  </cols>
  <sheetData>
    <row r="1" spans="1:7" x14ac:dyDescent="0.3">
      <c r="A1" s="4" t="s">
        <v>0</v>
      </c>
      <c r="B1" s="5" t="s">
        <v>699</v>
      </c>
      <c r="C1" s="5" t="s">
        <v>700</v>
      </c>
      <c r="D1" s="4" t="s">
        <v>701</v>
      </c>
      <c r="E1" s="4" t="s">
        <v>702</v>
      </c>
      <c r="F1" s="4" t="s">
        <v>703</v>
      </c>
      <c r="G1" s="4" t="s">
        <v>704</v>
      </c>
    </row>
    <row r="2" spans="1:7" x14ac:dyDescent="0.3">
      <c r="A2" s="1" t="s">
        <v>1</v>
      </c>
      <c r="B2" s="1" t="s">
        <v>705</v>
      </c>
      <c r="C2" s="2">
        <v>6.12</v>
      </c>
      <c r="D2" s="1" t="s">
        <v>706</v>
      </c>
      <c r="E2" s="1" t="s">
        <v>707</v>
      </c>
      <c r="F2" t="str" cm="1">
        <f t="array" ref="F2">_xlfn.SWITCH(MID(E2,6,1),"S","Sucker","C","Crown","N","Nursery","")</f>
        <v>Sucker</v>
      </c>
      <c r="G2" t="str" cm="1">
        <f t="array" ref="G2">_xlfn.SWITCH(MID(E2,7,1),"S","Sedang","K","Kecil","B","Besar","")</f>
        <v>Sedang</v>
      </c>
    </row>
    <row r="3" spans="1:7" x14ac:dyDescent="0.3">
      <c r="A3" s="1" t="s">
        <v>2</v>
      </c>
      <c r="B3" s="1" t="s">
        <v>705</v>
      </c>
      <c r="C3" s="2">
        <v>7.13</v>
      </c>
      <c r="D3" s="1" t="s">
        <v>708</v>
      </c>
      <c r="E3" s="1" t="s">
        <v>707</v>
      </c>
      <c r="F3" t="str" cm="1">
        <f t="array" ref="F3">_xlfn.SWITCH(MID(E3,6,1),"S","Sucker","C","Crown","N","Nursery","")</f>
        <v>Sucker</v>
      </c>
      <c r="G3" t="str" cm="1">
        <f t="array" ref="G3">_xlfn.SWITCH(MID(E3,7,1),"S","Sedang","K","Kecil","B","Besar","")</f>
        <v>Sedang</v>
      </c>
    </row>
    <row r="4" spans="1:7" x14ac:dyDescent="0.3">
      <c r="A4" s="1" t="s">
        <v>3</v>
      </c>
      <c r="B4" s="1" t="s">
        <v>705</v>
      </c>
      <c r="C4" s="2">
        <v>2.79</v>
      </c>
      <c r="D4" s="1" t="s">
        <v>709</v>
      </c>
      <c r="E4" s="1" t="s">
        <v>710</v>
      </c>
      <c r="F4" t="str" cm="1">
        <f t="array" ref="F4">_xlfn.SWITCH(MID(E4,6,1),"S","Sucker","C","Crown","N","Nursery","")</f>
        <v/>
      </c>
      <c r="G4" t="str" cm="1">
        <f t="array" ref="G4">_xlfn.SWITCH(MID(E4,7,1),"S","Sedang","K","Kecil","B","Besar","")</f>
        <v/>
      </c>
    </row>
    <row r="5" spans="1:7" x14ac:dyDescent="0.3">
      <c r="A5" s="1" t="s">
        <v>4</v>
      </c>
      <c r="B5" s="1" t="s">
        <v>705</v>
      </c>
      <c r="C5" s="2">
        <v>6.57</v>
      </c>
      <c r="D5" s="1" t="s">
        <v>709</v>
      </c>
      <c r="E5" s="1" t="s">
        <v>710</v>
      </c>
      <c r="F5" t="str" cm="1">
        <f t="array" ref="F5">_xlfn.SWITCH(MID(E5,6,1),"S","Sucker","C","Crown","N","Nursery","")</f>
        <v/>
      </c>
      <c r="G5" t="str" cm="1">
        <f t="array" ref="G5">_xlfn.SWITCH(MID(E5,7,1),"S","Sedang","K","Kecil","B","Besar","")</f>
        <v/>
      </c>
    </row>
    <row r="6" spans="1:7" x14ac:dyDescent="0.3">
      <c r="A6" s="1" t="s">
        <v>5</v>
      </c>
      <c r="B6" s="1" t="s">
        <v>705</v>
      </c>
      <c r="C6" s="2">
        <v>5.38</v>
      </c>
      <c r="D6" s="1" t="s">
        <v>706</v>
      </c>
      <c r="E6" s="1" t="s">
        <v>711</v>
      </c>
      <c r="F6" t="str" cm="1">
        <f t="array" ref="F6">_xlfn.SWITCH(MID(E6,6,1),"S","Sucker","C","Crown","N","Nursery","")</f>
        <v>Crown</v>
      </c>
      <c r="G6" t="str" cm="1">
        <f t="array" ref="G6">_xlfn.SWITCH(MID(E6,7,1),"S","Sedang","K","Kecil","B","Besar","")</f>
        <v>Kecil</v>
      </c>
    </row>
    <row r="7" spans="1:7" x14ac:dyDescent="0.3">
      <c r="A7" s="1" t="s">
        <v>6</v>
      </c>
      <c r="B7" s="1" t="s">
        <v>705</v>
      </c>
      <c r="C7" s="2">
        <v>4.58</v>
      </c>
      <c r="D7" s="1" t="s">
        <v>706</v>
      </c>
      <c r="E7" s="1" t="s">
        <v>707</v>
      </c>
      <c r="F7" t="str" cm="1">
        <f t="array" ref="F7">_xlfn.SWITCH(MID(E7,6,1),"S","Sucker","C","Crown","N","Nursery","")</f>
        <v>Sucker</v>
      </c>
      <c r="G7" t="str" cm="1">
        <f t="array" ref="G7">_xlfn.SWITCH(MID(E7,7,1),"S","Sedang","K","Kecil","B","Besar","")</f>
        <v>Sedang</v>
      </c>
    </row>
    <row r="8" spans="1:7" x14ac:dyDescent="0.3">
      <c r="A8" s="1" t="s">
        <v>7</v>
      </c>
      <c r="B8" s="1" t="s">
        <v>705</v>
      </c>
      <c r="C8" s="2">
        <v>6.75</v>
      </c>
      <c r="D8" s="1" t="s">
        <v>712</v>
      </c>
      <c r="E8" s="1" t="s">
        <v>711</v>
      </c>
      <c r="F8" t="str" cm="1">
        <f t="array" ref="F8">_xlfn.SWITCH(MID(E8,6,1),"S","Sucker","C","Crown","N","Nursery","")</f>
        <v>Crown</v>
      </c>
      <c r="G8" t="str" cm="1">
        <f t="array" ref="G8">_xlfn.SWITCH(MID(E8,7,1),"S","Sedang","K","Kecil","B","Besar","")</f>
        <v>Kecil</v>
      </c>
    </row>
    <row r="9" spans="1:7" x14ac:dyDescent="0.3">
      <c r="A9" s="1" t="s">
        <v>8</v>
      </c>
      <c r="B9" s="1" t="s">
        <v>705</v>
      </c>
      <c r="C9" s="2">
        <v>5.35</v>
      </c>
      <c r="D9" s="1" t="s">
        <v>713</v>
      </c>
      <c r="E9" s="1" t="s">
        <v>710</v>
      </c>
      <c r="F9" t="str" cm="1">
        <f t="array" ref="F9">_xlfn.SWITCH(MID(E9,6,1),"S","Sucker","C","Crown","N","Nursery","")</f>
        <v/>
      </c>
      <c r="G9" t="str" cm="1">
        <f t="array" ref="G9">_xlfn.SWITCH(MID(E9,7,1),"S","Sedang","K","Kecil","B","Besar","")</f>
        <v/>
      </c>
    </row>
    <row r="10" spans="1:7" x14ac:dyDescent="0.3">
      <c r="A10" s="1" t="s">
        <v>9</v>
      </c>
      <c r="B10" s="1" t="s">
        <v>705</v>
      </c>
      <c r="C10" s="2">
        <v>6.6</v>
      </c>
      <c r="D10" s="1" t="s">
        <v>714</v>
      </c>
      <c r="E10" s="1" t="s">
        <v>711</v>
      </c>
      <c r="F10" t="str" cm="1">
        <f t="array" ref="F10">_xlfn.SWITCH(MID(E10,6,1),"S","Sucker","C","Crown","N","Nursery","")</f>
        <v>Crown</v>
      </c>
      <c r="G10" t="str" cm="1">
        <f t="array" ref="G10">_xlfn.SWITCH(MID(E10,7,1),"S","Sedang","K","Kecil","B","Besar","")</f>
        <v>Kecil</v>
      </c>
    </row>
    <row r="11" spans="1:7" x14ac:dyDescent="0.3">
      <c r="A11" s="1" t="s">
        <v>10</v>
      </c>
      <c r="B11" s="1" t="s">
        <v>705</v>
      </c>
      <c r="C11" s="2">
        <v>8.24</v>
      </c>
      <c r="D11" s="1" t="s">
        <v>714</v>
      </c>
      <c r="E11" s="1" t="s">
        <v>711</v>
      </c>
      <c r="F11" t="str" cm="1">
        <f t="array" ref="F11">_xlfn.SWITCH(MID(E11,6,1),"S","Sucker","C","Crown","N","Nursery","")</f>
        <v>Crown</v>
      </c>
      <c r="G11" t="str" cm="1">
        <f t="array" ref="G11">_xlfn.SWITCH(MID(E11,7,1),"S","Sedang","K","Kecil","B","Besar","")</f>
        <v>Kecil</v>
      </c>
    </row>
    <row r="12" spans="1:7" x14ac:dyDescent="0.3">
      <c r="A12" s="1" t="s">
        <v>11</v>
      </c>
      <c r="B12" s="1" t="s">
        <v>705</v>
      </c>
      <c r="C12" s="2">
        <v>3.17</v>
      </c>
      <c r="D12" s="1" t="s">
        <v>715</v>
      </c>
      <c r="E12" s="1" t="s">
        <v>710</v>
      </c>
      <c r="F12" t="str" cm="1">
        <f t="array" ref="F12">_xlfn.SWITCH(MID(E12,6,1),"S","Sucker","C","Crown","N","Nursery","")</f>
        <v/>
      </c>
      <c r="G12" t="str" cm="1">
        <f t="array" ref="G12">_xlfn.SWITCH(MID(E12,7,1),"S","Sedang","K","Kecil","B","Besar","")</f>
        <v/>
      </c>
    </row>
    <row r="13" spans="1:7" x14ac:dyDescent="0.3">
      <c r="A13" s="1" t="s">
        <v>12</v>
      </c>
      <c r="B13" s="1" t="s">
        <v>705</v>
      </c>
      <c r="C13" s="2">
        <v>9.7899999999999991</v>
      </c>
      <c r="D13" s="1" t="s">
        <v>716</v>
      </c>
      <c r="E13" s="1" t="s">
        <v>710</v>
      </c>
      <c r="F13" t="str" cm="1">
        <f t="array" ref="F13">_xlfn.SWITCH(MID(E13,6,1),"S","Sucker","C","Crown","N","Nursery","")</f>
        <v/>
      </c>
      <c r="G13" t="str" cm="1">
        <f t="array" ref="G13">_xlfn.SWITCH(MID(E13,7,1),"S","Sedang","K","Kecil","B","Besar","")</f>
        <v/>
      </c>
    </row>
    <row r="14" spans="1:7" x14ac:dyDescent="0.3">
      <c r="A14" s="1" t="s">
        <v>13</v>
      </c>
      <c r="B14" s="1" t="s">
        <v>705</v>
      </c>
      <c r="C14" s="2">
        <v>7.02</v>
      </c>
      <c r="D14" s="1" t="s">
        <v>715</v>
      </c>
      <c r="E14" s="1" t="s">
        <v>710</v>
      </c>
      <c r="F14" t="str" cm="1">
        <f t="array" ref="F14">_xlfn.SWITCH(MID(E14,6,1),"S","Sucker","C","Crown","N","Nursery","")</f>
        <v/>
      </c>
      <c r="G14" t="str" cm="1">
        <f t="array" ref="G14">_xlfn.SWITCH(MID(E14,7,1),"S","Sedang","K","Kecil","B","Besar","")</f>
        <v/>
      </c>
    </row>
    <row r="15" spans="1:7" x14ac:dyDescent="0.3">
      <c r="A15" s="1" t="s">
        <v>14</v>
      </c>
      <c r="B15" s="1" t="s">
        <v>705</v>
      </c>
      <c r="C15" s="2">
        <v>5.29</v>
      </c>
      <c r="D15" s="1" t="s">
        <v>717</v>
      </c>
      <c r="E15" s="1" t="s">
        <v>711</v>
      </c>
      <c r="F15" t="str" cm="1">
        <f t="array" ref="F15">_xlfn.SWITCH(MID(E15,6,1),"S","Sucker","C","Crown","N","Nursery","")</f>
        <v>Crown</v>
      </c>
      <c r="G15" t="str" cm="1">
        <f t="array" ref="G15">_xlfn.SWITCH(MID(E15,7,1),"S","Sedang","K","Kecil","B","Besar","")</f>
        <v>Kecil</v>
      </c>
    </row>
    <row r="16" spans="1:7" x14ac:dyDescent="0.3">
      <c r="A16" s="1" t="s">
        <v>15</v>
      </c>
      <c r="B16" s="1" t="s">
        <v>705</v>
      </c>
      <c r="C16" s="2">
        <v>9.2200000000000006</v>
      </c>
      <c r="D16" s="1" t="s">
        <v>706</v>
      </c>
      <c r="E16" s="1" t="s">
        <v>711</v>
      </c>
      <c r="F16" t="str" cm="1">
        <f t="array" ref="F16">_xlfn.SWITCH(MID(E16,6,1),"S","Sucker","C","Crown","N","Nursery","")</f>
        <v>Crown</v>
      </c>
      <c r="G16" t="str" cm="1">
        <f t="array" ref="G16">_xlfn.SWITCH(MID(E16,7,1),"S","Sedang","K","Kecil","B","Besar","")</f>
        <v>Kecil</v>
      </c>
    </row>
    <row r="17" spans="1:7" x14ac:dyDescent="0.3">
      <c r="A17" s="1" t="s">
        <v>16</v>
      </c>
      <c r="B17" s="1" t="s">
        <v>705</v>
      </c>
      <c r="C17" s="2">
        <v>7.18</v>
      </c>
      <c r="D17" s="1" t="s">
        <v>712</v>
      </c>
      <c r="E17" s="1" t="s">
        <v>711</v>
      </c>
      <c r="F17" t="str" cm="1">
        <f t="array" ref="F17">_xlfn.SWITCH(MID(E17,6,1),"S","Sucker","C","Crown","N","Nursery","")</f>
        <v>Crown</v>
      </c>
      <c r="G17" t="str" cm="1">
        <f t="array" ref="G17">_xlfn.SWITCH(MID(E17,7,1),"S","Sedang","K","Kecil","B","Besar","")</f>
        <v>Kecil</v>
      </c>
    </row>
    <row r="18" spans="1:7" x14ac:dyDescent="0.3">
      <c r="A18" s="1" t="s">
        <v>17</v>
      </c>
      <c r="B18" s="1" t="s">
        <v>705</v>
      </c>
      <c r="C18" s="2">
        <v>4.9800000000000004</v>
      </c>
      <c r="D18" s="1" t="s">
        <v>718</v>
      </c>
      <c r="E18" s="1" t="s">
        <v>710</v>
      </c>
      <c r="F18" t="str" cm="1">
        <f t="array" ref="F18">_xlfn.SWITCH(MID(E18,6,1),"S","Sucker","C","Crown","N","Nursery","")</f>
        <v/>
      </c>
      <c r="G18" t="str" cm="1">
        <f t="array" ref="G18">_xlfn.SWITCH(MID(E18,7,1),"S","Sedang","K","Kecil","B","Besar","")</f>
        <v/>
      </c>
    </row>
    <row r="19" spans="1:7" x14ac:dyDescent="0.3">
      <c r="A19" s="1" t="s">
        <v>18</v>
      </c>
      <c r="B19" s="1" t="s">
        <v>705</v>
      </c>
      <c r="C19" s="2">
        <v>8.24</v>
      </c>
      <c r="D19" s="1" t="s">
        <v>719</v>
      </c>
      <c r="E19" s="1" t="s">
        <v>711</v>
      </c>
      <c r="F19" t="str" cm="1">
        <f t="array" ref="F19">_xlfn.SWITCH(MID(E19,6,1),"S","Sucker","C","Crown","N","Nursery","")</f>
        <v>Crown</v>
      </c>
      <c r="G19" t="str" cm="1">
        <f t="array" ref="G19">_xlfn.SWITCH(MID(E19,7,1),"S","Sedang","K","Kecil","B","Besar","")</f>
        <v>Kecil</v>
      </c>
    </row>
    <row r="20" spans="1:7" x14ac:dyDescent="0.3">
      <c r="A20" s="1" t="s">
        <v>19</v>
      </c>
      <c r="B20" s="1" t="s">
        <v>705</v>
      </c>
      <c r="C20" s="2">
        <v>6.53</v>
      </c>
      <c r="D20" s="1" t="s">
        <v>720</v>
      </c>
      <c r="E20" s="1" t="s">
        <v>711</v>
      </c>
      <c r="F20" t="str" cm="1">
        <f t="array" ref="F20">_xlfn.SWITCH(MID(E20,6,1),"S","Sucker","C","Crown","N","Nursery","")</f>
        <v>Crown</v>
      </c>
      <c r="G20" t="str" cm="1">
        <f t="array" ref="G20">_xlfn.SWITCH(MID(E20,7,1),"S","Sedang","K","Kecil","B","Besar","")</f>
        <v>Kecil</v>
      </c>
    </row>
    <row r="21" spans="1:7" x14ac:dyDescent="0.3">
      <c r="A21" s="1" t="s">
        <v>20</v>
      </c>
      <c r="B21" s="1" t="s">
        <v>705</v>
      </c>
      <c r="C21" s="2">
        <v>6.03</v>
      </c>
      <c r="D21" s="1" t="s">
        <v>713</v>
      </c>
      <c r="E21" s="1" t="s">
        <v>710</v>
      </c>
      <c r="F21" t="str" cm="1">
        <f t="array" ref="F21">_xlfn.SWITCH(MID(E21,6,1),"S","Sucker","C","Crown","N","Nursery","")</f>
        <v/>
      </c>
      <c r="G21" t="str" cm="1">
        <f t="array" ref="G21">_xlfn.SWITCH(MID(E21,7,1),"S","Sedang","K","Kecil","B","Besar","")</f>
        <v/>
      </c>
    </row>
    <row r="22" spans="1:7" x14ac:dyDescent="0.3">
      <c r="A22" s="1" t="s">
        <v>21</v>
      </c>
      <c r="B22" s="1" t="s">
        <v>705</v>
      </c>
      <c r="C22" s="2">
        <v>6.34</v>
      </c>
      <c r="D22" s="1" t="s">
        <v>713</v>
      </c>
      <c r="E22" s="1" t="s">
        <v>710</v>
      </c>
      <c r="F22" t="str" cm="1">
        <f t="array" ref="F22">_xlfn.SWITCH(MID(E22,6,1),"S","Sucker","C","Crown","N","Nursery","")</f>
        <v/>
      </c>
      <c r="G22" t="str" cm="1">
        <f t="array" ref="G22">_xlfn.SWITCH(MID(E22,7,1),"S","Sedang","K","Kecil","B","Besar","")</f>
        <v/>
      </c>
    </row>
    <row r="23" spans="1:7" x14ac:dyDescent="0.3">
      <c r="A23" s="1" t="s">
        <v>22</v>
      </c>
      <c r="B23" s="1" t="s">
        <v>705</v>
      </c>
      <c r="C23" s="2">
        <v>4.05</v>
      </c>
      <c r="D23" s="1" t="s">
        <v>720</v>
      </c>
      <c r="E23" s="1" t="s">
        <v>711</v>
      </c>
      <c r="F23" t="str" cm="1">
        <f t="array" ref="F23">_xlfn.SWITCH(MID(E23,6,1),"S","Sucker","C","Crown","N","Nursery","")</f>
        <v>Crown</v>
      </c>
      <c r="G23" t="str" cm="1">
        <f t="array" ref="G23">_xlfn.SWITCH(MID(E23,7,1),"S","Sedang","K","Kecil","B","Besar","")</f>
        <v>Kecil</v>
      </c>
    </row>
    <row r="24" spans="1:7" x14ac:dyDescent="0.3">
      <c r="A24" s="1" t="s">
        <v>23</v>
      </c>
      <c r="B24" s="1" t="s">
        <v>705</v>
      </c>
      <c r="C24" s="2">
        <v>7.97</v>
      </c>
      <c r="D24" s="1" t="s">
        <v>720</v>
      </c>
      <c r="E24" s="1" t="s">
        <v>711</v>
      </c>
      <c r="F24" t="str" cm="1">
        <f t="array" ref="F24">_xlfn.SWITCH(MID(E24,6,1),"S","Sucker","C","Crown","N","Nursery","")</f>
        <v>Crown</v>
      </c>
      <c r="G24" t="str" cm="1">
        <f t="array" ref="G24">_xlfn.SWITCH(MID(E24,7,1),"S","Sedang","K","Kecil","B","Besar","")</f>
        <v>Kecil</v>
      </c>
    </row>
    <row r="25" spans="1:7" x14ac:dyDescent="0.3">
      <c r="A25" s="1" t="s">
        <v>24</v>
      </c>
      <c r="B25" s="1" t="s">
        <v>705</v>
      </c>
      <c r="C25" s="2">
        <v>12.62</v>
      </c>
      <c r="D25" s="1" t="s">
        <v>721</v>
      </c>
      <c r="E25" s="1" t="s">
        <v>710</v>
      </c>
      <c r="F25" t="str" cm="1">
        <f t="array" ref="F25">_xlfn.SWITCH(MID(E25,6,1),"S","Sucker","C","Crown","N","Nursery","")</f>
        <v/>
      </c>
      <c r="G25" t="str" cm="1">
        <f t="array" ref="G25">_xlfn.SWITCH(MID(E25,7,1),"S","Sedang","K","Kecil","B","Besar","")</f>
        <v/>
      </c>
    </row>
    <row r="26" spans="1:7" x14ac:dyDescent="0.3">
      <c r="A26" s="1" t="s">
        <v>25</v>
      </c>
      <c r="B26" s="1" t="s">
        <v>705</v>
      </c>
      <c r="C26" s="2">
        <v>6.18</v>
      </c>
      <c r="D26" s="1" t="s">
        <v>722</v>
      </c>
      <c r="E26" s="1" t="s">
        <v>710</v>
      </c>
      <c r="F26" t="str" cm="1">
        <f t="array" ref="F26">_xlfn.SWITCH(MID(E26,6,1),"S","Sucker","C","Crown","N","Nursery","")</f>
        <v/>
      </c>
      <c r="G26" t="str" cm="1">
        <f t="array" ref="G26">_xlfn.SWITCH(MID(E26,7,1),"S","Sedang","K","Kecil","B","Besar","")</f>
        <v/>
      </c>
    </row>
    <row r="27" spans="1:7" x14ac:dyDescent="0.3">
      <c r="A27" s="1" t="s">
        <v>26</v>
      </c>
      <c r="B27" s="1" t="s">
        <v>705</v>
      </c>
      <c r="C27" s="2">
        <v>6.44</v>
      </c>
      <c r="D27" s="1" t="s">
        <v>722</v>
      </c>
      <c r="E27" s="1" t="s">
        <v>710</v>
      </c>
      <c r="F27" t="str" cm="1">
        <f t="array" ref="F27">_xlfn.SWITCH(MID(E27,6,1),"S","Sucker","C","Crown","N","Nursery","")</f>
        <v/>
      </c>
      <c r="G27" t="str" cm="1">
        <f t="array" ref="G27">_xlfn.SWITCH(MID(E27,7,1),"S","Sedang","K","Kecil","B","Besar","")</f>
        <v/>
      </c>
    </row>
    <row r="28" spans="1:7" x14ac:dyDescent="0.3">
      <c r="A28" s="1" t="s">
        <v>27</v>
      </c>
      <c r="B28" s="1" t="s">
        <v>705</v>
      </c>
      <c r="C28" s="2">
        <v>5.32</v>
      </c>
      <c r="D28" s="1" t="s">
        <v>718</v>
      </c>
      <c r="E28" s="1" t="s">
        <v>710</v>
      </c>
      <c r="F28" t="str" cm="1">
        <f t="array" ref="F28">_xlfn.SWITCH(MID(E28,6,1),"S","Sucker","C","Crown","N","Nursery","")</f>
        <v/>
      </c>
      <c r="G28" t="str" cm="1">
        <f t="array" ref="G28">_xlfn.SWITCH(MID(E28,7,1),"S","Sedang","K","Kecil","B","Besar","")</f>
        <v/>
      </c>
    </row>
    <row r="29" spans="1:7" x14ac:dyDescent="0.3">
      <c r="A29" s="1" t="s">
        <v>28</v>
      </c>
      <c r="B29" s="1" t="s">
        <v>705</v>
      </c>
      <c r="C29" s="3">
        <v>6</v>
      </c>
      <c r="D29" s="1" t="s">
        <v>723</v>
      </c>
      <c r="E29" s="1" t="s">
        <v>710</v>
      </c>
      <c r="F29" t="str" cm="1">
        <f t="array" ref="F29">_xlfn.SWITCH(MID(E29,6,1),"S","Sucker","C","Crown","N","Nursery","")</f>
        <v/>
      </c>
      <c r="G29" t="str" cm="1">
        <f t="array" ref="G29">_xlfn.SWITCH(MID(E29,7,1),"S","Sedang","K","Kecil","B","Besar","")</f>
        <v/>
      </c>
    </row>
    <row r="30" spans="1:7" x14ac:dyDescent="0.3">
      <c r="A30" s="1" t="s">
        <v>29</v>
      </c>
      <c r="B30" s="1" t="s">
        <v>705</v>
      </c>
      <c r="C30" s="2">
        <v>3.87</v>
      </c>
      <c r="D30" s="1" t="s">
        <v>713</v>
      </c>
      <c r="E30" s="1" t="s">
        <v>710</v>
      </c>
      <c r="F30" t="str" cm="1">
        <f t="array" ref="F30">_xlfn.SWITCH(MID(E30,6,1),"S","Sucker","C","Crown","N","Nursery","")</f>
        <v/>
      </c>
      <c r="G30" t="str" cm="1">
        <f t="array" ref="G30">_xlfn.SWITCH(MID(E30,7,1),"S","Sedang","K","Kecil","B","Besar","")</f>
        <v/>
      </c>
    </row>
    <row r="31" spans="1:7" x14ac:dyDescent="0.3">
      <c r="A31" s="1" t="s">
        <v>30</v>
      </c>
      <c r="B31" s="1" t="s">
        <v>705</v>
      </c>
      <c r="C31" s="2">
        <v>9.9700000000000006</v>
      </c>
      <c r="D31" s="1" t="s">
        <v>716</v>
      </c>
      <c r="E31" s="1" t="s">
        <v>710</v>
      </c>
      <c r="F31" t="str" cm="1">
        <f t="array" ref="F31">_xlfn.SWITCH(MID(E31,6,1),"S","Sucker","C","Crown","N","Nursery","")</f>
        <v/>
      </c>
      <c r="G31" t="str" cm="1">
        <f t="array" ref="G31">_xlfn.SWITCH(MID(E31,7,1),"S","Sedang","K","Kecil","B","Besar","")</f>
        <v/>
      </c>
    </row>
    <row r="32" spans="1:7" x14ac:dyDescent="0.3">
      <c r="A32" s="1" t="s">
        <v>31</v>
      </c>
      <c r="B32" s="1" t="s">
        <v>705</v>
      </c>
      <c r="C32" s="2">
        <v>6.33</v>
      </c>
      <c r="D32" s="1" t="s">
        <v>719</v>
      </c>
      <c r="E32" s="1" t="s">
        <v>711</v>
      </c>
      <c r="F32" t="str" cm="1">
        <f t="array" ref="F32">_xlfn.SWITCH(MID(E32,6,1),"S","Sucker","C","Crown","N","Nursery","")</f>
        <v>Crown</v>
      </c>
      <c r="G32" t="str" cm="1">
        <f t="array" ref="G32">_xlfn.SWITCH(MID(E32,7,1),"S","Sedang","K","Kecil","B","Besar","")</f>
        <v>Kecil</v>
      </c>
    </row>
    <row r="33" spans="1:7" x14ac:dyDescent="0.3">
      <c r="A33" s="1" t="s">
        <v>32</v>
      </c>
      <c r="B33" s="1" t="s">
        <v>705</v>
      </c>
      <c r="C33" s="2">
        <v>6.48</v>
      </c>
      <c r="D33" s="1" t="s">
        <v>716</v>
      </c>
      <c r="E33" s="1" t="s">
        <v>710</v>
      </c>
      <c r="F33" t="str" cm="1">
        <f t="array" ref="F33">_xlfn.SWITCH(MID(E33,6,1),"S","Sucker","C","Crown","N","Nursery","")</f>
        <v/>
      </c>
      <c r="G33" t="str" cm="1">
        <f t="array" ref="G33">_xlfn.SWITCH(MID(E33,7,1),"S","Sedang","K","Kecil","B","Besar","")</f>
        <v/>
      </c>
    </row>
    <row r="34" spans="1:7" x14ac:dyDescent="0.3">
      <c r="A34" s="1" t="s">
        <v>33</v>
      </c>
      <c r="B34" s="1" t="s">
        <v>705</v>
      </c>
      <c r="C34" s="2">
        <v>12.31</v>
      </c>
      <c r="D34" s="1" t="s">
        <v>724</v>
      </c>
      <c r="E34" s="1" t="s">
        <v>711</v>
      </c>
      <c r="F34" t="str" cm="1">
        <f t="array" ref="F34">_xlfn.SWITCH(MID(E34,6,1),"S","Sucker","C","Crown","N","Nursery","")</f>
        <v>Crown</v>
      </c>
      <c r="G34" t="str" cm="1">
        <f t="array" ref="G34">_xlfn.SWITCH(MID(E34,7,1),"S","Sedang","K","Kecil","B","Besar","")</f>
        <v>Kecil</v>
      </c>
    </row>
    <row r="35" spans="1:7" x14ac:dyDescent="0.3">
      <c r="A35" s="1" t="s">
        <v>34</v>
      </c>
      <c r="B35" s="1" t="s">
        <v>705</v>
      </c>
      <c r="C35" s="2">
        <v>6.86</v>
      </c>
      <c r="D35" s="1" t="s">
        <v>725</v>
      </c>
      <c r="E35" s="1" t="s">
        <v>710</v>
      </c>
      <c r="F35" t="str" cm="1">
        <f t="array" ref="F35">_xlfn.SWITCH(MID(E35,6,1),"S","Sucker","C","Crown","N","Nursery","")</f>
        <v/>
      </c>
      <c r="G35" t="str" cm="1">
        <f t="array" ref="G35">_xlfn.SWITCH(MID(E35,7,1),"S","Sedang","K","Kecil","B","Besar","")</f>
        <v/>
      </c>
    </row>
    <row r="36" spans="1:7" x14ac:dyDescent="0.3">
      <c r="A36" s="1" t="s">
        <v>35</v>
      </c>
      <c r="B36" s="1" t="s">
        <v>705</v>
      </c>
      <c r="C36" s="2">
        <v>5.71</v>
      </c>
      <c r="D36" s="1" t="s">
        <v>713</v>
      </c>
      <c r="E36" s="1" t="s">
        <v>710</v>
      </c>
      <c r="F36" t="str" cm="1">
        <f t="array" ref="F36">_xlfn.SWITCH(MID(E36,6,1),"S","Sucker","C","Crown","N","Nursery","")</f>
        <v/>
      </c>
      <c r="G36" t="str" cm="1">
        <f t="array" ref="G36">_xlfn.SWITCH(MID(E36,7,1),"S","Sedang","K","Kecil","B","Besar","")</f>
        <v/>
      </c>
    </row>
    <row r="37" spans="1:7" x14ac:dyDescent="0.3">
      <c r="A37" s="1" t="s">
        <v>36</v>
      </c>
      <c r="B37" s="1" t="s">
        <v>705</v>
      </c>
      <c r="C37" s="2">
        <v>3.82</v>
      </c>
      <c r="D37" s="1" t="s">
        <v>726</v>
      </c>
      <c r="E37" s="1" t="s">
        <v>727</v>
      </c>
      <c r="F37" t="str" cm="1">
        <f t="array" ref="F37">_xlfn.SWITCH(MID(E37,6,1),"S","Sucker","C","Crown","N","Nursery","")</f>
        <v>Sucker</v>
      </c>
      <c r="G37" t="str" cm="1">
        <f t="array" ref="G37">_xlfn.SWITCH(MID(E37,7,1),"S","Sedang","K","Kecil","B","Besar","")</f>
        <v>Besar</v>
      </c>
    </row>
    <row r="38" spans="1:7" x14ac:dyDescent="0.3">
      <c r="A38" s="1" t="s">
        <v>37</v>
      </c>
      <c r="B38" s="1" t="s">
        <v>705</v>
      </c>
      <c r="C38" s="2">
        <v>9.82</v>
      </c>
      <c r="D38" s="1" t="s">
        <v>728</v>
      </c>
      <c r="E38" s="1" t="s">
        <v>710</v>
      </c>
      <c r="F38" t="str" cm="1">
        <f t="array" ref="F38">_xlfn.SWITCH(MID(E38,6,1),"S","Sucker","C","Crown","N","Nursery","")</f>
        <v/>
      </c>
      <c r="G38" t="str" cm="1">
        <f t="array" ref="G38">_xlfn.SWITCH(MID(E38,7,1),"S","Sedang","K","Kecil","B","Besar","")</f>
        <v/>
      </c>
    </row>
    <row r="39" spans="1:7" x14ac:dyDescent="0.3">
      <c r="A39" s="1" t="s">
        <v>38</v>
      </c>
      <c r="B39" s="1" t="s">
        <v>705</v>
      </c>
      <c r="C39" s="2">
        <v>5.03</v>
      </c>
      <c r="D39" s="1" t="s">
        <v>718</v>
      </c>
      <c r="E39" s="1" t="s">
        <v>710</v>
      </c>
      <c r="F39" t="str" cm="1">
        <f t="array" ref="F39">_xlfn.SWITCH(MID(E39,6,1),"S","Sucker","C","Crown","N","Nursery","")</f>
        <v/>
      </c>
      <c r="G39" t="str" cm="1">
        <f t="array" ref="G39">_xlfn.SWITCH(MID(E39,7,1),"S","Sedang","K","Kecil","B","Besar","")</f>
        <v/>
      </c>
    </row>
    <row r="40" spans="1:7" x14ac:dyDescent="0.3">
      <c r="A40" s="1" t="s">
        <v>39</v>
      </c>
      <c r="B40" s="1" t="s">
        <v>705</v>
      </c>
      <c r="C40" s="2">
        <v>7.17</v>
      </c>
      <c r="D40" s="1" t="s">
        <v>729</v>
      </c>
      <c r="E40" s="1" t="s">
        <v>710</v>
      </c>
      <c r="F40" t="str" cm="1">
        <f t="array" ref="F40">_xlfn.SWITCH(MID(E40,6,1),"S","Sucker","C","Crown","N","Nursery","")</f>
        <v/>
      </c>
      <c r="G40" t="str" cm="1">
        <f t="array" ref="G40">_xlfn.SWITCH(MID(E40,7,1),"S","Sedang","K","Kecil","B","Besar","")</f>
        <v/>
      </c>
    </row>
    <row r="41" spans="1:7" x14ac:dyDescent="0.3">
      <c r="A41" s="1" t="s">
        <v>40</v>
      </c>
      <c r="B41" s="1" t="s">
        <v>705</v>
      </c>
      <c r="C41" s="2">
        <v>5.73</v>
      </c>
      <c r="D41" s="1" t="s">
        <v>726</v>
      </c>
      <c r="E41" s="1" t="s">
        <v>707</v>
      </c>
      <c r="F41" t="str" cm="1">
        <f t="array" ref="F41">_xlfn.SWITCH(MID(E41,6,1),"S","Sucker","C","Crown","N","Nursery","")</f>
        <v>Sucker</v>
      </c>
      <c r="G41" t="str" cm="1">
        <f t="array" ref="G41">_xlfn.SWITCH(MID(E41,7,1),"S","Sedang","K","Kecil","B","Besar","")</f>
        <v>Sedang</v>
      </c>
    </row>
    <row r="42" spans="1:7" x14ac:dyDescent="0.3">
      <c r="A42" s="1" t="s">
        <v>41</v>
      </c>
      <c r="B42" s="1" t="s">
        <v>705</v>
      </c>
      <c r="C42" s="2">
        <v>4.3600000000000003</v>
      </c>
      <c r="D42" s="1" t="s">
        <v>730</v>
      </c>
      <c r="E42" s="1" t="s">
        <v>710</v>
      </c>
      <c r="F42" t="str" cm="1">
        <f t="array" ref="F42">_xlfn.SWITCH(MID(E42,6,1),"S","Sucker","C","Crown","N","Nursery","")</f>
        <v/>
      </c>
      <c r="G42" t="str" cm="1">
        <f t="array" ref="G42">_xlfn.SWITCH(MID(E42,7,1),"S","Sedang","K","Kecil","B","Besar","")</f>
        <v/>
      </c>
    </row>
    <row r="43" spans="1:7" x14ac:dyDescent="0.3">
      <c r="A43" s="1" t="s">
        <v>42</v>
      </c>
      <c r="B43" s="1" t="s">
        <v>705</v>
      </c>
      <c r="C43" s="2">
        <v>9.7799999999999994</v>
      </c>
      <c r="D43" s="1" t="s">
        <v>729</v>
      </c>
      <c r="E43" s="1" t="s">
        <v>710</v>
      </c>
      <c r="F43" t="str" cm="1">
        <f t="array" ref="F43">_xlfn.SWITCH(MID(E43,6,1),"S","Sucker","C","Crown","N","Nursery","")</f>
        <v/>
      </c>
      <c r="G43" t="str" cm="1">
        <f t="array" ref="G43">_xlfn.SWITCH(MID(E43,7,1),"S","Sedang","K","Kecil","B","Besar","")</f>
        <v/>
      </c>
    </row>
    <row r="44" spans="1:7" x14ac:dyDescent="0.3">
      <c r="A44" s="1" t="s">
        <v>43</v>
      </c>
      <c r="B44" s="1" t="s">
        <v>705</v>
      </c>
      <c r="C44" s="2">
        <v>8.17</v>
      </c>
      <c r="D44" s="1" t="s">
        <v>726</v>
      </c>
      <c r="E44" s="1" t="s">
        <v>727</v>
      </c>
      <c r="F44" t="str" cm="1">
        <f t="array" ref="F44">_xlfn.SWITCH(MID(E44,6,1),"S","Sucker","C","Crown","N","Nursery","")</f>
        <v>Sucker</v>
      </c>
      <c r="G44" t="str" cm="1">
        <f t="array" ref="G44">_xlfn.SWITCH(MID(E44,7,1),"S","Sedang","K","Kecil","B","Besar","")</f>
        <v>Besar</v>
      </c>
    </row>
    <row r="45" spans="1:7" x14ac:dyDescent="0.3">
      <c r="A45" s="1" t="s">
        <v>44</v>
      </c>
      <c r="B45" s="1" t="s">
        <v>705</v>
      </c>
      <c r="C45" s="2">
        <v>5.76</v>
      </c>
      <c r="D45" s="1" t="s">
        <v>731</v>
      </c>
      <c r="E45" s="1" t="s">
        <v>707</v>
      </c>
      <c r="F45" t="str" cm="1">
        <f t="array" ref="F45">_xlfn.SWITCH(MID(E45,6,1),"S","Sucker","C","Crown","N","Nursery","")</f>
        <v>Sucker</v>
      </c>
      <c r="G45" t="str" cm="1">
        <f t="array" ref="G45">_xlfn.SWITCH(MID(E45,7,1),"S","Sedang","K","Kecil","B","Besar","")</f>
        <v>Sedang</v>
      </c>
    </row>
    <row r="46" spans="1:7" x14ac:dyDescent="0.3">
      <c r="A46" s="1" t="s">
        <v>45</v>
      </c>
      <c r="B46" s="1" t="s">
        <v>705</v>
      </c>
      <c r="C46" s="2">
        <v>5.16</v>
      </c>
      <c r="D46" s="1" t="s">
        <v>732</v>
      </c>
      <c r="E46" s="1" t="s">
        <v>710</v>
      </c>
      <c r="F46" t="str" cm="1">
        <f t="array" ref="F46">_xlfn.SWITCH(MID(E46,6,1),"S","Sucker","C","Crown","N","Nursery","")</f>
        <v/>
      </c>
      <c r="G46" t="str" cm="1">
        <f t="array" ref="G46">_xlfn.SWITCH(MID(E46,7,1),"S","Sedang","K","Kecil","B","Besar","")</f>
        <v/>
      </c>
    </row>
    <row r="47" spans="1:7" x14ac:dyDescent="0.3">
      <c r="A47" s="1" t="s">
        <v>46</v>
      </c>
      <c r="B47" s="1" t="s">
        <v>705</v>
      </c>
      <c r="C47" s="2">
        <v>4.4400000000000004</v>
      </c>
      <c r="D47" s="1" t="s">
        <v>732</v>
      </c>
      <c r="E47" s="1" t="s">
        <v>710</v>
      </c>
      <c r="F47" t="str" cm="1">
        <f t="array" ref="F47">_xlfn.SWITCH(MID(E47,6,1),"S","Sucker","C","Crown","N","Nursery","")</f>
        <v/>
      </c>
      <c r="G47" t="str" cm="1">
        <f t="array" ref="G47">_xlfn.SWITCH(MID(E47,7,1),"S","Sedang","K","Kecil","B","Besar","")</f>
        <v/>
      </c>
    </row>
    <row r="48" spans="1:7" x14ac:dyDescent="0.3">
      <c r="A48" s="1" t="s">
        <v>47</v>
      </c>
      <c r="B48" s="1" t="s">
        <v>705</v>
      </c>
      <c r="C48" s="2">
        <v>10.54</v>
      </c>
      <c r="D48" s="1" t="s">
        <v>733</v>
      </c>
      <c r="E48" s="1" t="s">
        <v>710</v>
      </c>
      <c r="F48" t="str" cm="1">
        <f t="array" ref="F48">_xlfn.SWITCH(MID(E48,6,1),"S","Sucker","C","Crown","N","Nursery","")</f>
        <v/>
      </c>
      <c r="G48" t="str" cm="1">
        <f t="array" ref="G48">_xlfn.SWITCH(MID(E48,7,1),"S","Sedang","K","Kecil","B","Besar","")</f>
        <v/>
      </c>
    </row>
    <row r="49" spans="1:7" x14ac:dyDescent="0.3">
      <c r="A49" s="1" t="s">
        <v>48</v>
      </c>
      <c r="B49" s="1" t="s">
        <v>705</v>
      </c>
      <c r="C49" s="2">
        <v>8.4</v>
      </c>
      <c r="D49" s="1" t="s">
        <v>729</v>
      </c>
      <c r="E49" s="1" t="s">
        <v>710</v>
      </c>
      <c r="F49" t="str" cm="1">
        <f t="array" ref="F49">_xlfn.SWITCH(MID(E49,6,1),"S","Sucker","C","Crown","N","Nursery","")</f>
        <v/>
      </c>
      <c r="G49" t="str" cm="1">
        <f t="array" ref="G49">_xlfn.SWITCH(MID(E49,7,1),"S","Sedang","K","Kecil","B","Besar","")</f>
        <v/>
      </c>
    </row>
    <row r="50" spans="1:7" x14ac:dyDescent="0.3">
      <c r="A50" s="1" t="s">
        <v>49</v>
      </c>
      <c r="B50" s="1" t="s">
        <v>705</v>
      </c>
      <c r="C50" s="2">
        <v>7.85</v>
      </c>
      <c r="D50" s="1" t="s">
        <v>730</v>
      </c>
      <c r="E50" s="1" t="s">
        <v>710</v>
      </c>
      <c r="F50" t="str" cm="1">
        <f t="array" ref="F50">_xlfn.SWITCH(MID(E50,6,1),"S","Sucker","C","Crown","N","Nursery","")</f>
        <v/>
      </c>
      <c r="G50" t="str" cm="1">
        <f t="array" ref="G50">_xlfn.SWITCH(MID(E50,7,1),"S","Sedang","K","Kecil","B","Besar","")</f>
        <v/>
      </c>
    </row>
    <row r="51" spans="1:7" x14ac:dyDescent="0.3">
      <c r="A51" s="1" t="s">
        <v>50</v>
      </c>
      <c r="B51" s="1" t="s">
        <v>705</v>
      </c>
      <c r="C51" s="2">
        <v>5.16</v>
      </c>
      <c r="D51" s="1" t="s">
        <v>714</v>
      </c>
      <c r="E51" s="1" t="s">
        <v>707</v>
      </c>
      <c r="F51" t="str" cm="1">
        <f t="array" ref="F51">_xlfn.SWITCH(MID(E51,6,1),"S","Sucker","C","Crown","N","Nursery","")</f>
        <v>Sucker</v>
      </c>
      <c r="G51" t="str" cm="1">
        <f t="array" ref="G51">_xlfn.SWITCH(MID(E51,7,1),"S","Sedang","K","Kecil","B","Besar","")</f>
        <v>Sedang</v>
      </c>
    </row>
    <row r="52" spans="1:7" x14ac:dyDescent="0.3">
      <c r="A52" s="1" t="s">
        <v>51</v>
      </c>
      <c r="B52" s="1" t="s">
        <v>705</v>
      </c>
      <c r="C52" s="2">
        <v>7.25</v>
      </c>
      <c r="D52" s="1" t="s">
        <v>724</v>
      </c>
      <c r="E52" s="1" t="s">
        <v>734</v>
      </c>
      <c r="F52" t="str" cm="1">
        <f t="array" ref="F52">_xlfn.SWITCH(MID(E52,6,1),"S","Sucker","C","Crown","N","Nursery","")</f>
        <v>Sucker</v>
      </c>
      <c r="G52" t="str" cm="1">
        <f t="array" ref="G52">_xlfn.SWITCH(MID(E52,7,1),"S","Sedang","K","Kecil","B","Besar","")</f>
        <v>Kecil</v>
      </c>
    </row>
    <row r="53" spans="1:7" x14ac:dyDescent="0.3">
      <c r="A53" s="1" t="s">
        <v>52</v>
      </c>
      <c r="B53" s="1" t="s">
        <v>705</v>
      </c>
      <c r="C53" s="2">
        <v>6.33</v>
      </c>
      <c r="D53" s="1" t="s">
        <v>724</v>
      </c>
      <c r="E53" s="1" t="s">
        <v>734</v>
      </c>
      <c r="F53" t="str" cm="1">
        <f t="array" ref="F53">_xlfn.SWITCH(MID(E53,6,1),"S","Sucker","C","Crown","N","Nursery","")</f>
        <v>Sucker</v>
      </c>
      <c r="G53" t="str" cm="1">
        <f t="array" ref="G53">_xlfn.SWITCH(MID(E53,7,1),"S","Sedang","K","Kecil","B","Besar","")</f>
        <v>Kecil</v>
      </c>
    </row>
    <row r="54" spans="1:7" x14ac:dyDescent="0.3">
      <c r="A54" s="1" t="s">
        <v>53</v>
      </c>
      <c r="B54" s="1" t="s">
        <v>705</v>
      </c>
      <c r="C54" s="2">
        <v>10.24</v>
      </c>
      <c r="D54" s="1" t="s">
        <v>724</v>
      </c>
      <c r="E54" s="1" t="s">
        <v>711</v>
      </c>
      <c r="F54" t="str" cm="1">
        <f t="array" ref="F54">_xlfn.SWITCH(MID(E54,6,1),"S","Sucker","C","Crown","N","Nursery","")</f>
        <v>Crown</v>
      </c>
      <c r="G54" t="str" cm="1">
        <f t="array" ref="G54">_xlfn.SWITCH(MID(E54,7,1),"S","Sedang","K","Kecil","B","Besar","")</f>
        <v>Kecil</v>
      </c>
    </row>
    <row r="55" spans="1:7" x14ac:dyDescent="0.3">
      <c r="A55" s="1" t="s">
        <v>54</v>
      </c>
      <c r="B55" s="1" t="s">
        <v>705</v>
      </c>
      <c r="C55" s="2">
        <v>6.09</v>
      </c>
      <c r="D55" s="1" t="s">
        <v>735</v>
      </c>
      <c r="E55" s="1" t="s">
        <v>711</v>
      </c>
      <c r="F55" t="str" cm="1">
        <f t="array" ref="F55">_xlfn.SWITCH(MID(E55,6,1),"S","Sucker","C","Crown","N","Nursery","")</f>
        <v>Crown</v>
      </c>
      <c r="G55" t="str" cm="1">
        <f t="array" ref="G55">_xlfn.SWITCH(MID(E55,7,1),"S","Sedang","K","Kecil","B","Besar","")</f>
        <v>Kecil</v>
      </c>
    </row>
    <row r="56" spans="1:7" x14ac:dyDescent="0.3">
      <c r="A56" s="1" t="s">
        <v>55</v>
      </c>
      <c r="B56" s="1" t="s">
        <v>705</v>
      </c>
      <c r="C56" s="2">
        <v>9.33</v>
      </c>
      <c r="D56" s="1" t="s">
        <v>724</v>
      </c>
      <c r="E56" s="1" t="s">
        <v>711</v>
      </c>
      <c r="F56" t="str" cm="1">
        <f t="array" ref="F56">_xlfn.SWITCH(MID(E56,6,1),"S","Sucker","C","Crown","N","Nursery","")</f>
        <v>Crown</v>
      </c>
      <c r="G56" t="str" cm="1">
        <f t="array" ref="G56">_xlfn.SWITCH(MID(E56,7,1),"S","Sedang","K","Kecil","B","Besar","")</f>
        <v>Kecil</v>
      </c>
    </row>
    <row r="57" spans="1:7" x14ac:dyDescent="0.3">
      <c r="A57" s="1" t="s">
        <v>56</v>
      </c>
      <c r="B57" s="1" t="s">
        <v>705</v>
      </c>
      <c r="C57" s="2">
        <v>4.26</v>
      </c>
      <c r="D57" s="1" t="s">
        <v>724</v>
      </c>
      <c r="E57" s="1" t="s">
        <v>711</v>
      </c>
      <c r="F57" t="str" cm="1">
        <f t="array" ref="F57">_xlfn.SWITCH(MID(E57,6,1),"S","Sucker","C","Crown","N","Nursery","")</f>
        <v>Crown</v>
      </c>
      <c r="G57" t="str" cm="1">
        <f t="array" ref="G57">_xlfn.SWITCH(MID(E57,7,1),"S","Sedang","K","Kecil","B","Besar","")</f>
        <v>Kecil</v>
      </c>
    </row>
    <row r="58" spans="1:7" x14ac:dyDescent="0.3">
      <c r="A58" s="1" t="s">
        <v>57</v>
      </c>
      <c r="B58" s="1" t="s">
        <v>705</v>
      </c>
      <c r="C58" s="2">
        <v>7.77</v>
      </c>
      <c r="D58" s="1" t="s">
        <v>720</v>
      </c>
      <c r="E58" s="1" t="s">
        <v>711</v>
      </c>
      <c r="F58" t="str" cm="1">
        <f t="array" ref="F58">_xlfn.SWITCH(MID(E58,6,1),"S","Sucker","C","Crown","N","Nursery","")</f>
        <v>Crown</v>
      </c>
      <c r="G58" t="str" cm="1">
        <f t="array" ref="G58">_xlfn.SWITCH(MID(E58,7,1),"S","Sedang","K","Kecil","B","Besar","")</f>
        <v>Kecil</v>
      </c>
    </row>
    <row r="59" spans="1:7" x14ac:dyDescent="0.3">
      <c r="A59" s="1" t="s">
        <v>58</v>
      </c>
      <c r="B59" s="1" t="s">
        <v>705</v>
      </c>
      <c r="C59" s="2">
        <v>5.24</v>
      </c>
      <c r="D59" s="1" t="s">
        <v>720</v>
      </c>
      <c r="E59" s="1" t="s">
        <v>736</v>
      </c>
      <c r="F59" t="str" cm="1">
        <f t="array" ref="F59">_xlfn.SWITCH(MID(E59,6,1),"S","Sucker","C","Crown","N","Nursery","")</f>
        <v>Crown</v>
      </c>
      <c r="G59" t="str" cm="1">
        <f t="array" ref="G59">_xlfn.SWITCH(MID(E59,7,1),"S","Sedang","K","Kecil","B","Besar","")</f>
        <v/>
      </c>
    </row>
    <row r="60" spans="1:7" x14ac:dyDescent="0.3">
      <c r="A60" s="1" t="s">
        <v>59</v>
      </c>
      <c r="B60" s="1" t="s">
        <v>705</v>
      </c>
      <c r="C60" s="2">
        <v>7.07</v>
      </c>
      <c r="D60" s="1" t="s">
        <v>735</v>
      </c>
      <c r="E60" s="1" t="s">
        <v>711</v>
      </c>
      <c r="F60" t="str" cm="1">
        <f t="array" ref="F60">_xlfn.SWITCH(MID(E60,6,1),"S","Sucker","C","Crown","N","Nursery","")</f>
        <v>Crown</v>
      </c>
      <c r="G60" t="str" cm="1">
        <f t="array" ref="G60">_xlfn.SWITCH(MID(E60,7,1),"S","Sedang","K","Kecil","B","Besar","")</f>
        <v>Kecil</v>
      </c>
    </row>
    <row r="61" spans="1:7" x14ac:dyDescent="0.3">
      <c r="A61" s="1" t="s">
        <v>60</v>
      </c>
      <c r="B61" s="1" t="s">
        <v>705</v>
      </c>
      <c r="C61" s="2">
        <v>3.62</v>
      </c>
      <c r="D61" s="1" t="s">
        <v>737</v>
      </c>
      <c r="E61" s="1" t="s">
        <v>727</v>
      </c>
      <c r="F61" t="str" cm="1">
        <f t="array" ref="F61">_xlfn.SWITCH(MID(E61,6,1),"S","Sucker","C","Crown","N","Nursery","")</f>
        <v>Sucker</v>
      </c>
      <c r="G61" t="str" cm="1">
        <f t="array" ref="G61">_xlfn.SWITCH(MID(E61,7,1),"S","Sedang","K","Kecil","B","Besar","")</f>
        <v>Besar</v>
      </c>
    </row>
    <row r="62" spans="1:7" x14ac:dyDescent="0.3">
      <c r="A62" s="1" t="s">
        <v>61</v>
      </c>
      <c r="B62" s="1" t="s">
        <v>705</v>
      </c>
      <c r="C62" s="2">
        <v>6.09</v>
      </c>
      <c r="D62" s="1" t="s">
        <v>737</v>
      </c>
      <c r="E62" s="1" t="s">
        <v>707</v>
      </c>
      <c r="F62" t="str" cm="1">
        <f t="array" ref="F62">_xlfn.SWITCH(MID(E62,6,1),"S","Sucker","C","Crown","N","Nursery","")</f>
        <v>Sucker</v>
      </c>
      <c r="G62" t="str" cm="1">
        <f t="array" ref="G62">_xlfn.SWITCH(MID(E62,7,1),"S","Sedang","K","Kecil","B","Besar","")</f>
        <v>Sedang</v>
      </c>
    </row>
    <row r="63" spans="1:7" x14ac:dyDescent="0.3">
      <c r="A63" s="1" t="s">
        <v>62</v>
      </c>
      <c r="B63" s="1" t="s">
        <v>705</v>
      </c>
      <c r="C63" s="2">
        <v>5.53</v>
      </c>
      <c r="D63" s="1" t="s">
        <v>738</v>
      </c>
      <c r="E63" s="1" t="s">
        <v>711</v>
      </c>
      <c r="F63" t="str" cm="1">
        <f t="array" ref="F63">_xlfn.SWITCH(MID(E63,6,1),"S","Sucker","C","Crown","N","Nursery","")</f>
        <v>Crown</v>
      </c>
      <c r="G63" t="str" cm="1">
        <f t="array" ref="G63">_xlfn.SWITCH(MID(E63,7,1),"S","Sedang","K","Kecil","B","Besar","")</f>
        <v>Kecil</v>
      </c>
    </row>
    <row r="64" spans="1:7" x14ac:dyDescent="0.3">
      <c r="A64" s="1" t="s">
        <v>63</v>
      </c>
      <c r="B64" s="1" t="s">
        <v>705</v>
      </c>
      <c r="C64" s="2">
        <v>6.24</v>
      </c>
      <c r="D64" s="1" t="s">
        <v>738</v>
      </c>
      <c r="E64" s="1" t="s">
        <v>734</v>
      </c>
      <c r="F64" t="str" cm="1">
        <f t="array" ref="F64">_xlfn.SWITCH(MID(E64,6,1),"S","Sucker","C","Crown","N","Nursery","")</f>
        <v>Sucker</v>
      </c>
      <c r="G64" t="str" cm="1">
        <f t="array" ref="G64">_xlfn.SWITCH(MID(E64,7,1),"S","Sedang","K","Kecil","B","Besar","")</f>
        <v>Kecil</v>
      </c>
    </row>
    <row r="65" spans="1:7" x14ac:dyDescent="0.3">
      <c r="A65" s="1" t="s">
        <v>64</v>
      </c>
      <c r="B65" s="1" t="s">
        <v>705</v>
      </c>
      <c r="C65" s="2">
        <v>3.46</v>
      </c>
      <c r="D65" s="1" t="s">
        <v>737</v>
      </c>
      <c r="E65" s="1" t="s">
        <v>734</v>
      </c>
      <c r="F65" t="str" cm="1">
        <f t="array" ref="F65">_xlfn.SWITCH(MID(E65,6,1),"S","Sucker","C","Crown","N","Nursery","")</f>
        <v>Sucker</v>
      </c>
      <c r="G65" t="str" cm="1">
        <f t="array" ref="G65">_xlfn.SWITCH(MID(E65,7,1),"S","Sedang","K","Kecil","B","Besar","")</f>
        <v>Kecil</v>
      </c>
    </row>
    <row r="66" spans="1:7" x14ac:dyDescent="0.3">
      <c r="A66" s="1" t="s">
        <v>65</v>
      </c>
      <c r="B66" s="1" t="s">
        <v>705</v>
      </c>
      <c r="C66" s="2">
        <v>10.24</v>
      </c>
      <c r="D66" s="1" t="s">
        <v>708</v>
      </c>
      <c r="E66" s="1" t="s">
        <v>711</v>
      </c>
      <c r="F66" t="str" cm="1">
        <f t="array" ref="F66">_xlfn.SWITCH(MID(E66,6,1),"S","Sucker","C","Crown","N","Nursery","")</f>
        <v>Crown</v>
      </c>
      <c r="G66" t="str" cm="1">
        <f t="array" ref="G66">_xlfn.SWITCH(MID(E66,7,1),"S","Sedang","K","Kecil","B","Besar","")</f>
        <v>Kecil</v>
      </c>
    </row>
    <row r="67" spans="1:7" x14ac:dyDescent="0.3">
      <c r="A67" s="1" t="s">
        <v>66</v>
      </c>
      <c r="B67" s="1" t="s">
        <v>705</v>
      </c>
      <c r="C67" s="2">
        <v>9.33</v>
      </c>
      <c r="D67" s="1" t="s">
        <v>739</v>
      </c>
      <c r="E67" s="1" t="s">
        <v>710</v>
      </c>
      <c r="F67" t="str" cm="1">
        <f t="array" ref="F67">_xlfn.SWITCH(MID(E67,6,1),"S","Sucker","C","Crown","N","Nursery","")</f>
        <v/>
      </c>
      <c r="G67" t="str" cm="1">
        <f t="array" ref="G67">_xlfn.SWITCH(MID(E67,7,1),"S","Sedang","K","Kecil","B","Besar","")</f>
        <v/>
      </c>
    </row>
    <row r="68" spans="1:7" x14ac:dyDescent="0.3">
      <c r="A68" s="1" t="s">
        <v>67</v>
      </c>
      <c r="B68" s="1" t="s">
        <v>705</v>
      </c>
      <c r="C68" s="2">
        <v>6.73</v>
      </c>
      <c r="D68" s="1" t="s">
        <v>738</v>
      </c>
      <c r="E68" s="1" t="s">
        <v>707</v>
      </c>
      <c r="F68" t="str" cm="1">
        <f t="array" ref="F68">_xlfn.SWITCH(MID(E68,6,1),"S","Sucker","C","Crown","N","Nursery","")</f>
        <v>Sucker</v>
      </c>
      <c r="G68" t="str" cm="1">
        <f t="array" ref="G68">_xlfn.SWITCH(MID(E68,7,1),"S","Sedang","K","Kecil","B","Besar","")</f>
        <v>Sedang</v>
      </c>
    </row>
    <row r="69" spans="1:7" x14ac:dyDescent="0.3">
      <c r="A69" s="1" t="s">
        <v>68</v>
      </c>
      <c r="B69" s="1" t="s">
        <v>705</v>
      </c>
      <c r="C69" s="2">
        <v>6.62</v>
      </c>
      <c r="D69" s="1" t="s">
        <v>738</v>
      </c>
      <c r="E69" s="1" t="s">
        <v>707</v>
      </c>
      <c r="F69" t="str" cm="1">
        <f t="array" ref="F69">_xlfn.SWITCH(MID(E69,6,1),"S","Sucker","C","Crown","N","Nursery","")</f>
        <v>Sucker</v>
      </c>
      <c r="G69" t="str" cm="1">
        <f t="array" ref="G69">_xlfn.SWITCH(MID(E69,7,1),"S","Sedang","K","Kecil","B","Besar","")</f>
        <v>Sedang</v>
      </c>
    </row>
    <row r="70" spans="1:7" x14ac:dyDescent="0.3">
      <c r="A70" s="1" t="s">
        <v>69</v>
      </c>
      <c r="B70" s="1" t="s">
        <v>705</v>
      </c>
      <c r="C70" s="2">
        <v>5.41</v>
      </c>
      <c r="D70" s="1" t="s">
        <v>719</v>
      </c>
      <c r="E70" s="1" t="s">
        <v>734</v>
      </c>
      <c r="F70" t="str" cm="1">
        <f t="array" ref="F70">_xlfn.SWITCH(MID(E70,6,1),"S","Sucker","C","Crown","N","Nursery","")</f>
        <v>Sucker</v>
      </c>
      <c r="G70" t="str" cm="1">
        <f t="array" ref="G70">_xlfn.SWITCH(MID(E70,7,1),"S","Sedang","K","Kecil","B","Besar","")</f>
        <v>Kecil</v>
      </c>
    </row>
    <row r="71" spans="1:7" x14ac:dyDescent="0.3">
      <c r="A71" s="1" t="s">
        <v>70</v>
      </c>
      <c r="B71" s="1" t="s">
        <v>705</v>
      </c>
      <c r="C71" s="2">
        <v>6.17</v>
      </c>
      <c r="D71" s="1" t="s">
        <v>719</v>
      </c>
      <c r="E71" s="1" t="s">
        <v>734</v>
      </c>
      <c r="F71" t="str" cm="1">
        <f t="array" ref="F71">_xlfn.SWITCH(MID(E71,6,1),"S","Sucker","C","Crown","N","Nursery","")</f>
        <v>Sucker</v>
      </c>
      <c r="G71" t="str" cm="1">
        <f t="array" ref="G71">_xlfn.SWITCH(MID(E71,7,1),"S","Sedang","K","Kecil","B","Besar","")</f>
        <v>Kecil</v>
      </c>
    </row>
    <row r="72" spans="1:7" x14ac:dyDescent="0.3">
      <c r="A72" s="1" t="s">
        <v>71</v>
      </c>
      <c r="B72" s="1" t="s">
        <v>705</v>
      </c>
      <c r="C72" s="2">
        <v>6.52</v>
      </c>
      <c r="D72" s="1" t="s">
        <v>724</v>
      </c>
      <c r="E72" s="1" t="s">
        <v>707</v>
      </c>
      <c r="F72" t="str" cm="1">
        <f t="array" ref="F72">_xlfn.SWITCH(MID(E72,6,1),"S","Sucker","C","Crown","N","Nursery","")</f>
        <v>Sucker</v>
      </c>
      <c r="G72" t="str" cm="1">
        <f t="array" ref="G72">_xlfn.SWITCH(MID(E72,7,1),"S","Sedang","K","Kecil","B","Besar","")</f>
        <v>Sedang</v>
      </c>
    </row>
    <row r="73" spans="1:7" x14ac:dyDescent="0.3">
      <c r="A73" s="1" t="s">
        <v>72</v>
      </c>
      <c r="B73" s="1" t="s">
        <v>705</v>
      </c>
      <c r="C73" s="2">
        <v>4.6500000000000004</v>
      </c>
      <c r="D73" s="1" t="s">
        <v>740</v>
      </c>
      <c r="E73" s="1" t="s">
        <v>710</v>
      </c>
      <c r="F73" t="str" cm="1">
        <f t="array" ref="F73">_xlfn.SWITCH(MID(E73,6,1),"S","Sucker","C","Crown","N","Nursery","")</f>
        <v/>
      </c>
      <c r="G73" t="str" cm="1">
        <f t="array" ref="G73">_xlfn.SWITCH(MID(E73,7,1),"S","Sedang","K","Kecil","B","Besar","")</f>
        <v/>
      </c>
    </row>
    <row r="74" spans="1:7" x14ac:dyDescent="0.3">
      <c r="A74" s="1" t="s">
        <v>73</v>
      </c>
      <c r="B74" s="1" t="s">
        <v>705</v>
      </c>
      <c r="C74" s="2">
        <v>5.56</v>
      </c>
      <c r="D74" s="1" t="s">
        <v>741</v>
      </c>
      <c r="E74" s="1" t="s">
        <v>710</v>
      </c>
      <c r="F74" t="str" cm="1">
        <f t="array" ref="F74">_xlfn.SWITCH(MID(E74,6,1),"S","Sucker","C","Crown","N","Nursery","")</f>
        <v/>
      </c>
      <c r="G74" t="str" cm="1">
        <f t="array" ref="G74">_xlfn.SWITCH(MID(E74,7,1),"S","Sedang","K","Kecil","B","Besar","")</f>
        <v/>
      </c>
    </row>
    <row r="75" spans="1:7" x14ac:dyDescent="0.3">
      <c r="A75" s="1" t="s">
        <v>74</v>
      </c>
      <c r="B75" s="1" t="s">
        <v>705</v>
      </c>
      <c r="C75" s="2">
        <v>6.81</v>
      </c>
      <c r="D75" s="1" t="s">
        <v>714</v>
      </c>
      <c r="E75" s="1" t="s">
        <v>734</v>
      </c>
      <c r="F75" t="str" cm="1">
        <f t="array" ref="F75">_xlfn.SWITCH(MID(E75,6,1),"S","Sucker","C","Crown","N","Nursery","")</f>
        <v>Sucker</v>
      </c>
      <c r="G75" t="str" cm="1">
        <f t="array" ref="G75">_xlfn.SWITCH(MID(E75,7,1),"S","Sedang","K","Kecil","B","Besar","")</f>
        <v>Kecil</v>
      </c>
    </row>
    <row r="76" spans="1:7" x14ac:dyDescent="0.3">
      <c r="A76" s="1" t="s">
        <v>75</v>
      </c>
      <c r="B76" s="1" t="s">
        <v>705</v>
      </c>
      <c r="C76" s="2">
        <v>10.050000000000001</v>
      </c>
      <c r="D76" s="1" t="s">
        <v>742</v>
      </c>
      <c r="E76" s="1" t="s">
        <v>710</v>
      </c>
      <c r="F76" t="str" cm="1">
        <f t="array" ref="F76">_xlfn.SWITCH(MID(E76,6,1),"S","Sucker","C","Crown","N","Nursery","")</f>
        <v/>
      </c>
      <c r="G76" t="str" cm="1">
        <f t="array" ref="G76">_xlfn.SWITCH(MID(E76,7,1),"S","Sedang","K","Kecil","B","Besar","")</f>
        <v/>
      </c>
    </row>
    <row r="77" spans="1:7" x14ac:dyDescent="0.3">
      <c r="A77" s="1" t="s">
        <v>76</v>
      </c>
      <c r="B77" s="1" t="s">
        <v>705</v>
      </c>
      <c r="C77" s="2">
        <v>4.16</v>
      </c>
      <c r="D77" s="1" t="s">
        <v>723</v>
      </c>
      <c r="E77" s="1" t="s">
        <v>710</v>
      </c>
      <c r="F77" t="str" cm="1">
        <f t="array" ref="F77">_xlfn.SWITCH(MID(E77,6,1),"S","Sucker","C","Crown","N","Nursery","")</f>
        <v/>
      </c>
      <c r="G77" t="str" cm="1">
        <f t="array" ref="G77">_xlfn.SWITCH(MID(E77,7,1),"S","Sedang","K","Kecil","B","Besar","")</f>
        <v/>
      </c>
    </row>
    <row r="78" spans="1:7" x14ac:dyDescent="0.3">
      <c r="A78" s="1" t="s">
        <v>77</v>
      </c>
      <c r="B78" s="1" t="s">
        <v>705</v>
      </c>
      <c r="C78" s="2">
        <v>6.83</v>
      </c>
      <c r="D78" s="1" t="s">
        <v>743</v>
      </c>
      <c r="E78" s="1" t="s">
        <v>707</v>
      </c>
      <c r="F78" t="str" cm="1">
        <f t="array" ref="F78">_xlfn.SWITCH(MID(E78,6,1),"S","Sucker","C","Crown","N","Nursery","")</f>
        <v>Sucker</v>
      </c>
      <c r="G78" t="str" cm="1">
        <f t="array" ref="G78">_xlfn.SWITCH(MID(E78,7,1),"S","Sedang","K","Kecil","B","Besar","")</f>
        <v>Sedang</v>
      </c>
    </row>
    <row r="79" spans="1:7" x14ac:dyDescent="0.3">
      <c r="A79" s="1" t="s">
        <v>78</v>
      </c>
      <c r="B79" s="1" t="s">
        <v>705</v>
      </c>
      <c r="C79" s="2">
        <v>5.09</v>
      </c>
      <c r="D79" s="1" t="s">
        <v>744</v>
      </c>
      <c r="E79" s="1" t="s">
        <v>734</v>
      </c>
      <c r="F79" t="str" cm="1">
        <f t="array" ref="F79">_xlfn.SWITCH(MID(E79,6,1),"S","Sucker","C","Crown","N","Nursery","")</f>
        <v>Sucker</v>
      </c>
      <c r="G79" t="str" cm="1">
        <f t="array" ref="G79">_xlfn.SWITCH(MID(E79,7,1),"S","Sedang","K","Kecil","B","Besar","")</f>
        <v>Kecil</v>
      </c>
    </row>
    <row r="80" spans="1:7" x14ac:dyDescent="0.3">
      <c r="A80" s="1" t="s">
        <v>79</v>
      </c>
      <c r="B80" s="1" t="s">
        <v>705</v>
      </c>
      <c r="C80" s="2">
        <v>3.38</v>
      </c>
      <c r="D80" s="1" t="s">
        <v>718</v>
      </c>
      <c r="E80" s="1" t="s">
        <v>710</v>
      </c>
      <c r="F80" t="str" cm="1">
        <f t="array" ref="F80">_xlfn.SWITCH(MID(E80,6,1),"S","Sucker","C","Crown","N","Nursery","")</f>
        <v/>
      </c>
      <c r="G80" t="str" cm="1">
        <f t="array" ref="G80">_xlfn.SWITCH(MID(E80,7,1),"S","Sedang","K","Kecil","B","Besar","")</f>
        <v/>
      </c>
    </row>
    <row r="81" spans="1:7" x14ac:dyDescent="0.3">
      <c r="A81" s="1" t="s">
        <v>80</v>
      </c>
      <c r="B81" s="1" t="s">
        <v>705</v>
      </c>
      <c r="C81" s="2">
        <v>6.38</v>
      </c>
      <c r="D81" s="1" t="s">
        <v>745</v>
      </c>
      <c r="E81" s="1" t="s">
        <v>710</v>
      </c>
      <c r="F81" t="str" cm="1">
        <f t="array" ref="F81">_xlfn.SWITCH(MID(E81,6,1),"S","Sucker","C","Crown","N","Nursery","")</f>
        <v/>
      </c>
      <c r="G81" t="str" cm="1">
        <f t="array" ref="G81">_xlfn.SWITCH(MID(E81,7,1),"S","Sedang","K","Kecil","B","Besar","")</f>
        <v/>
      </c>
    </row>
    <row r="82" spans="1:7" x14ac:dyDescent="0.3">
      <c r="A82" s="1" t="s">
        <v>81</v>
      </c>
      <c r="B82" s="1" t="s">
        <v>705</v>
      </c>
      <c r="C82" s="2">
        <v>5.44</v>
      </c>
      <c r="D82" s="1" t="s">
        <v>723</v>
      </c>
      <c r="E82" s="1" t="s">
        <v>710</v>
      </c>
      <c r="F82" t="str" cm="1">
        <f t="array" ref="F82">_xlfn.SWITCH(MID(E82,6,1),"S","Sucker","C","Crown","N","Nursery","")</f>
        <v/>
      </c>
      <c r="G82" t="str" cm="1">
        <f t="array" ref="G82">_xlfn.SWITCH(MID(E82,7,1),"S","Sedang","K","Kecil","B","Besar","")</f>
        <v/>
      </c>
    </row>
    <row r="83" spans="1:7" x14ac:dyDescent="0.3">
      <c r="A83" s="1" t="s">
        <v>82</v>
      </c>
      <c r="B83" s="1" t="s">
        <v>705</v>
      </c>
      <c r="C83" s="2">
        <v>4.76</v>
      </c>
      <c r="D83" s="1" t="s">
        <v>732</v>
      </c>
      <c r="E83" s="1" t="s">
        <v>710</v>
      </c>
      <c r="F83" t="str" cm="1">
        <f t="array" ref="F83">_xlfn.SWITCH(MID(E83,6,1),"S","Sucker","C","Crown","N","Nursery","")</f>
        <v/>
      </c>
      <c r="G83" t="str" cm="1">
        <f t="array" ref="G83">_xlfn.SWITCH(MID(E83,7,1),"S","Sedang","K","Kecil","B","Besar","")</f>
        <v/>
      </c>
    </row>
    <row r="84" spans="1:7" x14ac:dyDescent="0.3">
      <c r="A84" s="1" t="s">
        <v>83</v>
      </c>
      <c r="B84" s="1" t="s">
        <v>705</v>
      </c>
      <c r="C84" s="2">
        <v>7.07</v>
      </c>
      <c r="D84" s="1" t="s">
        <v>726</v>
      </c>
      <c r="E84" s="1" t="s">
        <v>707</v>
      </c>
      <c r="F84" t="str" cm="1">
        <f t="array" ref="F84">_xlfn.SWITCH(MID(E84,6,1),"S","Sucker","C","Crown","N","Nursery","")</f>
        <v>Sucker</v>
      </c>
      <c r="G84" t="str" cm="1">
        <f t="array" ref="G84">_xlfn.SWITCH(MID(E84,7,1),"S","Sedang","K","Kecil","B","Besar","")</f>
        <v>Sedang</v>
      </c>
    </row>
    <row r="85" spans="1:7" x14ac:dyDescent="0.3">
      <c r="A85" s="1" t="s">
        <v>84</v>
      </c>
      <c r="B85" s="1" t="s">
        <v>705</v>
      </c>
      <c r="C85" s="2">
        <v>7.17</v>
      </c>
      <c r="D85" s="1" t="s">
        <v>732</v>
      </c>
      <c r="E85" s="1" t="s">
        <v>710</v>
      </c>
      <c r="F85" t="str" cm="1">
        <f t="array" ref="F85">_xlfn.SWITCH(MID(E85,6,1),"S","Sucker","C","Crown","N","Nursery","")</f>
        <v/>
      </c>
      <c r="G85" t="str" cm="1">
        <f t="array" ref="G85">_xlfn.SWITCH(MID(E85,7,1),"S","Sedang","K","Kecil","B","Besar","")</f>
        <v/>
      </c>
    </row>
    <row r="86" spans="1:7" x14ac:dyDescent="0.3">
      <c r="A86" s="1" t="s">
        <v>85</v>
      </c>
      <c r="B86" s="1" t="s">
        <v>705</v>
      </c>
      <c r="C86" s="2">
        <v>7.29</v>
      </c>
      <c r="D86" s="1" t="s">
        <v>728</v>
      </c>
      <c r="E86" s="1" t="s">
        <v>710</v>
      </c>
      <c r="F86" t="str" cm="1">
        <f t="array" ref="F86">_xlfn.SWITCH(MID(E86,6,1),"S","Sucker","C","Crown","N","Nursery","")</f>
        <v/>
      </c>
      <c r="G86" t="str" cm="1">
        <f t="array" ref="G86">_xlfn.SWITCH(MID(E86,7,1),"S","Sedang","K","Kecil","B","Besar","")</f>
        <v/>
      </c>
    </row>
    <row r="87" spans="1:7" x14ac:dyDescent="0.3">
      <c r="A87" s="1" t="s">
        <v>86</v>
      </c>
      <c r="B87" s="1" t="s">
        <v>705</v>
      </c>
      <c r="C87" s="2">
        <v>4.33</v>
      </c>
      <c r="D87" s="1" t="s">
        <v>728</v>
      </c>
      <c r="E87" s="1" t="s">
        <v>710</v>
      </c>
      <c r="F87" t="str" cm="1">
        <f t="array" ref="F87">_xlfn.SWITCH(MID(E87,6,1),"S","Sucker","C","Crown","N","Nursery","")</f>
        <v/>
      </c>
      <c r="G87" t="str" cm="1">
        <f t="array" ref="G87">_xlfn.SWITCH(MID(E87,7,1),"S","Sedang","K","Kecil","B","Besar","")</f>
        <v/>
      </c>
    </row>
    <row r="88" spans="1:7" x14ac:dyDescent="0.3">
      <c r="A88" s="1" t="s">
        <v>87</v>
      </c>
      <c r="B88" s="1" t="s">
        <v>705</v>
      </c>
      <c r="C88" s="2">
        <v>6.83</v>
      </c>
      <c r="D88" s="1" t="s">
        <v>731</v>
      </c>
      <c r="E88" s="1" t="s">
        <v>707</v>
      </c>
      <c r="F88" t="str" cm="1">
        <f t="array" ref="F88">_xlfn.SWITCH(MID(E88,6,1),"S","Sucker","C","Crown","N","Nursery","")</f>
        <v>Sucker</v>
      </c>
      <c r="G88" t="str" cm="1">
        <f t="array" ref="G88">_xlfn.SWITCH(MID(E88,7,1),"S","Sedang","K","Kecil","B","Besar","")</f>
        <v>Sedang</v>
      </c>
    </row>
    <row r="89" spans="1:7" x14ac:dyDescent="0.3">
      <c r="A89" s="1" t="s">
        <v>88</v>
      </c>
      <c r="B89" s="1" t="s">
        <v>705</v>
      </c>
      <c r="C89" s="2">
        <v>5.87</v>
      </c>
      <c r="D89" s="1" t="s">
        <v>731</v>
      </c>
      <c r="E89" s="1" t="s">
        <v>727</v>
      </c>
      <c r="F89" t="str" cm="1">
        <f t="array" ref="F89">_xlfn.SWITCH(MID(E89,6,1),"S","Sucker","C","Crown","N","Nursery","")</f>
        <v>Sucker</v>
      </c>
      <c r="G89" t="str" cm="1">
        <f t="array" ref="G89">_xlfn.SWITCH(MID(E89,7,1),"S","Sedang","K","Kecil","B","Besar","")</f>
        <v>Besar</v>
      </c>
    </row>
    <row r="90" spans="1:7" x14ac:dyDescent="0.3">
      <c r="A90" s="1" t="s">
        <v>89</v>
      </c>
      <c r="B90" s="1" t="s">
        <v>705</v>
      </c>
      <c r="C90" s="2">
        <v>10.34</v>
      </c>
      <c r="D90" s="1" t="s">
        <v>746</v>
      </c>
      <c r="E90" s="1" t="s">
        <v>710</v>
      </c>
      <c r="F90" t="str" cm="1">
        <f t="array" ref="F90">_xlfn.SWITCH(MID(E90,6,1),"S","Sucker","C","Crown","N","Nursery","")</f>
        <v/>
      </c>
      <c r="G90" t="str" cm="1">
        <f t="array" ref="G90">_xlfn.SWITCH(MID(E90,7,1),"S","Sedang","K","Kecil","B","Besar","")</f>
        <v/>
      </c>
    </row>
    <row r="91" spans="1:7" x14ac:dyDescent="0.3">
      <c r="A91" s="1" t="s">
        <v>90</v>
      </c>
      <c r="B91" s="1" t="s">
        <v>705</v>
      </c>
      <c r="C91" s="2">
        <v>8.99</v>
      </c>
      <c r="D91" s="1" t="s">
        <v>706</v>
      </c>
      <c r="E91" s="1" t="s">
        <v>711</v>
      </c>
      <c r="F91" t="str" cm="1">
        <f t="array" ref="F91">_xlfn.SWITCH(MID(E91,6,1),"S","Sucker","C","Crown","N","Nursery","")</f>
        <v>Crown</v>
      </c>
      <c r="G91" t="str" cm="1">
        <f t="array" ref="G91">_xlfn.SWITCH(MID(E91,7,1),"S","Sedang","K","Kecil","B","Besar","")</f>
        <v>Kecil</v>
      </c>
    </row>
    <row r="92" spans="1:7" x14ac:dyDescent="0.3">
      <c r="A92" s="1" t="s">
        <v>91</v>
      </c>
      <c r="B92" s="1" t="s">
        <v>705</v>
      </c>
      <c r="C92" s="2">
        <v>7.96</v>
      </c>
      <c r="D92" s="1" t="s">
        <v>743</v>
      </c>
      <c r="E92" s="1" t="s">
        <v>711</v>
      </c>
      <c r="F92" t="str" cm="1">
        <f t="array" ref="F92">_xlfn.SWITCH(MID(E92,6,1),"S","Sucker","C","Crown","N","Nursery","")</f>
        <v>Crown</v>
      </c>
      <c r="G92" t="str" cm="1">
        <f t="array" ref="G92">_xlfn.SWITCH(MID(E92,7,1),"S","Sedang","K","Kecil","B","Besar","")</f>
        <v>Kecil</v>
      </c>
    </row>
    <row r="93" spans="1:7" x14ac:dyDescent="0.3">
      <c r="A93" s="1" t="s">
        <v>92</v>
      </c>
      <c r="B93" s="1" t="s">
        <v>705</v>
      </c>
      <c r="C93" s="2">
        <v>2.96</v>
      </c>
      <c r="D93" s="1" t="s">
        <v>714</v>
      </c>
      <c r="E93" s="1" t="s">
        <v>711</v>
      </c>
      <c r="F93" t="str" cm="1">
        <f t="array" ref="F93">_xlfn.SWITCH(MID(E93,6,1),"S","Sucker","C","Crown","N","Nursery","")</f>
        <v>Crown</v>
      </c>
      <c r="G93" t="str" cm="1">
        <f t="array" ref="G93">_xlfn.SWITCH(MID(E93,7,1),"S","Sedang","K","Kecil","B","Besar","")</f>
        <v>Kecil</v>
      </c>
    </row>
    <row r="94" spans="1:7" x14ac:dyDescent="0.3">
      <c r="A94" s="1" t="s">
        <v>93</v>
      </c>
      <c r="B94" s="1" t="s">
        <v>747</v>
      </c>
      <c r="C94" s="2">
        <v>9.44</v>
      </c>
      <c r="D94" s="1" t="s">
        <v>724</v>
      </c>
      <c r="E94" s="1" t="s">
        <v>711</v>
      </c>
      <c r="F94" t="str" cm="1">
        <f t="array" ref="F94">_xlfn.SWITCH(MID(E94,6,1),"S","Sucker","C","Crown","N","Nursery","")</f>
        <v>Crown</v>
      </c>
      <c r="G94" t="str" cm="1">
        <f t="array" ref="G94">_xlfn.SWITCH(MID(E94,7,1),"S","Sedang","K","Kecil","B","Besar","")</f>
        <v>Kecil</v>
      </c>
    </row>
    <row r="95" spans="1:7" x14ac:dyDescent="0.3">
      <c r="A95" s="1" t="s">
        <v>94</v>
      </c>
      <c r="B95" s="1" t="s">
        <v>747</v>
      </c>
      <c r="C95" s="2">
        <v>6.36</v>
      </c>
      <c r="D95" s="1" t="s">
        <v>720</v>
      </c>
      <c r="E95" s="1" t="s">
        <v>711</v>
      </c>
      <c r="F95" t="str" cm="1">
        <f t="array" ref="F95">_xlfn.SWITCH(MID(E95,6,1),"S","Sucker","C","Crown","N","Nursery","")</f>
        <v>Crown</v>
      </c>
      <c r="G95" t="str" cm="1">
        <f t="array" ref="G95">_xlfn.SWITCH(MID(E95,7,1),"S","Sedang","K","Kecil","B","Besar","")</f>
        <v>Kecil</v>
      </c>
    </row>
    <row r="96" spans="1:7" x14ac:dyDescent="0.3">
      <c r="A96" s="1" t="s">
        <v>95</v>
      </c>
      <c r="B96" s="1" t="s">
        <v>747</v>
      </c>
      <c r="C96" s="3">
        <v>5</v>
      </c>
      <c r="D96" s="1" t="s">
        <v>723</v>
      </c>
      <c r="E96" s="1" t="s">
        <v>710</v>
      </c>
      <c r="F96" t="str" cm="1">
        <f t="array" ref="F96">_xlfn.SWITCH(MID(E96,6,1),"S","Sucker","C","Crown","N","Nursery","")</f>
        <v/>
      </c>
      <c r="G96" t="str" cm="1">
        <f t="array" ref="G96">_xlfn.SWITCH(MID(E96,7,1),"S","Sedang","K","Kecil","B","Besar","")</f>
        <v/>
      </c>
    </row>
    <row r="97" spans="1:7" x14ac:dyDescent="0.3">
      <c r="A97" s="1" t="s">
        <v>96</v>
      </c>
      <c r="B97" s="1" t="s">
        <v>747</v>
      </c>
      <c r="C97" s="2">
        <v>7.84</v>
      </c>
      <c r="D97" s="1" t="s">
        <v>709</v>
      </c>
      <c r="E97" s="1" t="s">
        <v>710</v>
      </c>
      <c r="F97" t="str" cm="1">
        <f t="array" ref="F97">_xlfn.SWITCH(MID(E97,6,1),"S","Sucker","C","Crown","N","Nursery","")</f>
        <v/>
      </c>
      <c r="G97" t="str" cm="1">
        <f t="array" ref="G97">_xlfn.SWITCH(MID(E97,7,1),"S","Sedang","K","Kecil","B","Besar","")</f>
        <v/>
      </c>
    </row>
    <row r="98" spans="1:7" x14ac:dyDescent="0.3">
      <c r="A98" s="1" t="s">
        <v>97</v>
      </c>
      <c r="B98" s="1" t="s">
        <v>705</v>
      </c>
      <c r="C98" s="2">
        <v>8.9600000000000009</v>
      </c>
      <c r="D98" s="1" t="s">
        <v>748</v>
      </c>
      <c r="E98" s="1" t="s">
        <v>710</v>
      </c>
      <c r="F98" t="str" cm="1">
        <f t="array" ref="F98">_xlfn.SWITCH(MID(E98,6,1),"S","Sucker","C","Crown","N","Nursery","")</f>
        <v/>
      </c>
      <c r="G98" t="str" cm="1">
        <f t="array" ref="G98">_xlfn.SWITCH(MID(E98,7,1),"S","Sedang","K","Kecil","B","Besar","")</f>
        <v/>
      </c>
    </row>
    <row r="99" spans="1:7" x14ac:dyDescent="0.3">
      <c r="A99" s="1" t="s">
        <v>98</v>
      </c>
      <c r="B99" s="1" t="s">
        <v>747</v>
      </c>
      <c r="C99" s="2">
        <v>7.43</v>
      </c>
      <c r="D99" s="1" t="s">
        <v>749</v>
      </c>
      <c r="E99" s="1" t="s">
        <v>710</v>
      </c>
      <c r="F99" t="str" cm="1">
        <f t="array" ref="F99">_xlfn.SWITCH(MID(E99,6,1),"S","Sucker","C","Crown","N","Nursery","")</f>
        <v/>
      </c>
      <c r="G99" t="str" cm="1">
        <f t="array" ref="G99">_xlfn.SWITCH(MID(E99,7,1),"S","Sedang","K","Kecil","B","Besar","")</f>
        <v/>
      </c>
    </row>
    <row r="100" spans="1:7" x14ac:dyDescent="0.3">
      <c r="A100" s="1" t="s">
        <v>99</v>
      </c>
      <c r="B100" s="1" t="s">
        <v>747</v>
      </c>
      <c r="C100" s="2">
        <v>10.220000000000001</v>
      </c>
      <c r="D100" s="1" t="s">
        <v>724</v>
      </c>
      <c r="E100" s="1" t="s">
        <v>711</v>
      </c>
      <c r="F100" t="str" cm="1">
        <f t="array" ref="F100">_xlfn.SWITCH(MID(E100,6,1),"S","Sucker","C","Crown","N","Nursery","")</f>
        <v>Crown</v>
      </c>
      <c r="G100" t="str" cm="1">
        <f t="array" ref="G100">_xlfn.SWITCH(MID(E100,7,1),"S","Sedang","K","Kecil","B","Besar","")</f>
        <v>Kecil</v>
      </c>
    </row>
    <row r="101" spans="1:7" x14ac:dyDescent="0.3">
      <c r="A101" s="1" t="s">
        <v>100</v>
      </c>
      <c r="B101" s="1" t="s">
        <v>747</v>
      </c>
      <c r="C101" s="2">
        <v>2.52</v>
      </c>
      <c r="D101" s="1" t="s">
        <v>745</v>
      </c>
      <c r="E101" s="1" t="s">
        <v>710</v>
      </c>
      <c r="F101" t="str" cm="1">
        <f t="array" ref="F101">_xlfn.SWITCH(MID(E101,6,1),"S","Sucker","C","Crown","N","Nursery","")</f>
        <v/>
      </c>
      <c r="G101" t="str" cm="1">
        <f t="array" ref="G101">_xlfn.SWITCH(MID(E101,7,1),"S","Sedang","K","Kecil","B","Besar","")</f>
        <v/>
      </c>
    </row>
    <row r="102" spans="1:7" x14ac:dyDescent="0.3">
      <c r="A102" s="1" t="s">
        <v>101</v>
      </c>
      <c r="B102" s="1" t="s">
        <v>747</v>
      </c>
      <c r="C102" s="2">
        <v>3.77</v>
      </c>
      <c r="D102" s="1" t="s">
        <v>716</v>
      </c>
      <c r="E102" s="1" t="s">
        <v>710</v>
      </c>
      <c r="F102" t="str" cm="1">
        <f t="array" ref="F102">_xlfn.SWITCH(MID(E102,6,1),"S","Sucker","C","Crown","N","Nursery","")</f>
        <v/>
      </c>
      <c r="G102" t="str" cm="1">
        <f t="array" ref="G102">_xlfn.SWITCH(MID(E102,7,1),"S","Sedang","K","Kecil","B","Besar","")</f>
        <v/>
      </c>
    </row>
    <row r="103" spans="1:7" x14ac:dyDescent="0.3">
      <c r="A103" s="1" t="s">
        <v>102</v>
      </c>
      <c r="B103" s="1" t="s">
        <v>747</v>
      </c>
      <c r="C103" s="2">
        <v>5.09</v>
      </c>
      <c r="D103" s="1" t="s">
        <v>750</v>
      </c>
      <c r="E103" s="1" t="s">
        <v>710</v>
      </c>
      <c r="F103" t="str" cm="1">
        <f t="array" ref="F103">_xlfn.SWITCH(MID(E103,6,1),"S","Sucker","C","Crown","N","Nursery","")</f>
        <v/>
      </c>
      <c r="G103" t="str" cm="1">
        <f t="array" ref="G103">_xlfn.SWITCH(MID(E103,7,1),"S","Sedang","K","Kecil","B","Besar","")</f>
        <v/>
      </c>
    </row>
    <row r="104" spans="1:7" x14ac:dyDescent="0.3">
      <c r="A104" s="1" t="s">
        <v>103</v>
      </c>
      <c r="B104" s="1" t="s">
        <v>747</v>
      </c>
      <c r="C104" s="2">
        <v>8.75</v>
      </c>
      <c r="D104" s="1" t="s">
        <v>713</v>
      </c>
      <c r="E104" s="1" t="s">
        <v>710</v>
      </c>
      <c r="F104" t="str" cm="1">
        <f t="array" ref="F104">_xlfn.SWITCH(MID(E104,6,1),"S","Sucker","C","Crown","N","Nursery","")</f>
        <v/>
      </c>
      <c r="G104" t="str" cm="1">
        <f t="array" ref="G104">_xlfn.SWITCH(MID(E104,7,1),"S","Sedang","K","Kecil","B","Besar","")</f>
        <v/>
      </c>
    </row>
    <row r="105" spans="1:7" x14ac:dyDescent="0.3">
      <c r="A105" s="1" t="s">
        <v>104</v>
      </c>
      <c r="B105" s="1" t="s">
        <v>747</v>
      </c>
      <c r="C105" s="2">
        <v>8.35</v>
      </c>
      <c r="D105" s="1" t="s">
        <v>751</v>
      </c>
      <c r="E105" s="1" t="s">
        <v>711</v>
      </c>
      <c r="F105" t="str" cm="1">
        <f t="array" ref="F105">_xlfn.SWITCH(MID(E105,6,1),"S","Sucker","C","Crown","N","Nursery","")</f>
        <v>Crown</v>
      </c>
      <c r="G105" t="str" cm="1">
        <f t="array" ref="G105">_xlfn.SWITCH(MID(E105,7,1),"S","Sedang","K","Kecil","B","Besar","")</f>
        <v>Kecil</v>
      </c>
    </row>
    <row r="106" spans="1:7" x14ac:dyDescent="0.3">
      <c r="A106" s="1" t="s">
        <v>105</v>
      </c>
      <c r="B106" s="1" t="s">
        <v>747</v>
      </c>
      <c r="C106" s="2">
        <v>7.93</v>
      </c>
      <c r="D106" s="1" t="s">
        <v>721</v>
      </c>
      <c r="E106" s="1" t="s">
        <v>710</v>
      </c>
      <c r="F106" t="str" cm="1">
        <f t="array" ref="F106">_xlfn.SWITCH(MID(E106,6,1),"S","Sucker","C","Crown","N","Nursery","")</f>
        <v/>
      </c>
      <c r="G106" t="str" cm="1">
        <f t="array" ref="G106">_xlfn.SWITCH(MID(E106,7,1),"S","Sedang","K","Kecil","B","Besar","")</f>
        <v/>
      </c>
    </row>
    <row r="107" spans="1:7" x14ac:dyDescent="0.3">
      <c r="A107" s="1" t="s">
        <v>106</v>
      </c>
      <c r="B107" s="1" t="s">
        <v>752</v>
      </c>
      <c r="C107" s="2">
        <v>4.9800000000000004</v>
      </c>
      <c r="D107" s="1" t="s">
        <v>740</v>
      </c>
      <c r="E107" s="1" t="s">
        <v>710</v>
      </c>
      <c r="F107" t="str" cm="1">
        <f t="array" ref="F107">_xlfn.SWITCH(MID(E107,6,1),"S","Sucker","C","Crown","N","Nursery","")</f>
        <v/>
      </c>
      <c r="G107" t="str" cm="1">
        <f t="array" ref="G107">_xlfn.SWITCH(MID(E107,7,1),"S","Sedang","K","Kecil","B","Besar","")</f>
        <v/>
      </c>
    </row>
    <row r="108" spans="1:7" x14ac:dyDescent="0.3">
      <c r="A108" s="1" t="s">
        <v>107</v>
      </c>
      <c r="B108" s="1" t="s">
        <v>747</v>
      </c>
      <c r="C108" s="2">
        <v>3.7</v>
      </c>
      <c r="D108" s="1" t="s">
        <v>753</v>
      </c>
      <c r="E108" s="1" t="s">
        <v>710</v>
      </c>
      <c r="F108" t="str" cm="1">
        <f t="array" ref="F108">_xlfn.SWITCH(MID(E108,6,1),"S","Sucker","C","Crown","N","Nursery","")</f>
        <v/>
      </c>
      <c r="G108" t="str" cm="1">
        <f t="array" ref="G108">_xlfn.SWITCH(MID(E108,7,1),"S","Sedang","K","Kecil","B","Besar","")</f>
        <v/>
      </c>
    </row>
    <row r="109" spans="1:7" x14ac:dyDescent="0.3">
      <c r="A109" s="1" t="s">
        <v>108</v>
      </c>
      <c r="B109" s="1" t="s">
        <v>747</v>
      </c>
      <c r="C109" s="2">
        <v>11.44</v>
      </c>
      <c r="D109" s="1" t="s">
        <v>753</v>
      </c>
      <c r="E109" s="1" t="s">
        <v>710</v>
      </c>
      <c r="F109" t="str" cm="1">
        <f t="array" ref="F109">_xlfn.SWITCH(MID(E109,6,1),"S","Sucker","C","Crown","N","Nursery","")</f>
        <v/>
      </c>
      <c r="G109" t="str" cm="1">
        <f t="array" ref="G109">_xlfn.SWITCH(MID(E109,7,1),"S","Sedang","K","Kecil","B","Besar","")</f>
        <v/>
      </c>
    </row>
    <row r="110" spans="1:7" x14ac:dyDescent="0.3">
      <c r="A110" s="1" t="s">
        <v>109</v>
      </c>
      <c r="B110" s="1" t="s">
        <v>747</v>
      </c>
      <c r="C110" s="2">
        <v>5.83</v>
      </c>
      <c r="D110" s="1" t="s">
        <v>743</v>
      </c>
      <c r="E110" s="1" t="s">
        <v>734</v>
      </c>
      <c r="F110" t="str" cm="1">
        <f t="array" ref="F110">_xlfn.SWITCH(MID(E110,6,1),"S","Sucker","C","Crown","N","Nursery","")</f>
        <v>Sucker</v>
      </c>
      <c r="G110" t="str" cm="1">
        <f t="array" ref="G110">_xlfn.SWITCH(MID(E110,7,1),"S","Sedang","K","Kecil","B","Besar","")</f>
        <v>Kecil</v>
      </c>
    </row>
    <row r="111" spans="1:7" x14ac:dyDescent="0.3">
      <c r="A111" s="1" t="s">
        <v>110</v>
      </c>
      <c r="B111" s="1" t="s">
        <v>747</v>
      </c>
      <c r="C111" s="2">
        <v>7.42</v>
      </c>
      <c r="D111" s="1" t="s">
        <v>720</v>
      </c>
      <c r="E111" s="1" t="s">
        <v>707</v>
      </c>
      <c r="F111" t="str" cm="1">
        <f t="array" ref="F111">_xlfn.SWITCH(MID(E111,6,1),"S","Sucker","C","Crown","N","Nursery","")</f>
        <v>Sucker</v>
      </c>
      <c r="G111" t="str" cm="1">
        <f t="array" ref="G111">_xlfn.SWITCH(MID(E111,7,1),"S","Sedang","K","Kecil","B","Besar","")</f>
        <v>Sedang</v>
      </c>
    </row>
    <row r="112" spans="1:7" x14ac:dyDescent="0.3">
      <c r="A112" s="1" t="s">
        <v>111</v>
      </c>
      <c r="B112" s="1" t="s">
        <v>747</v>
      </c>
      <c r="C112" s="2">
        <v>6.96</v>
      </c>
      <c r="D112" s="1" t="s">
        <v>754</v>
      </c>
      <c r="E112" s="1" t="s">
        <v>711</v>
      </c>
      <c r="F112" t="str" cm="1">
        <f t="array" ref="F112">_xlfn.SWITCH(MID(E112,6,1),"S","Sucker","C","Crown","N","Nursery","")</f>
        <v>Crown</v>
      </c>
      <c r="G112" t="str" cm="1">
        <f t="array" ref="G112">_xlfn.SWITCH(MID(E112,7,1),"S","Sedang","K","Kecil","B","Besar","")</f>
        <v>Kecil</v>
      </c>
    </row>
    <row r="113" spans="1:7" x14ac:dyDescent="0.3">
      <c r="A113" s="1" t="s">
        <v>112</v>
      </c>
      <c r="B113" s="1" t="s">
        <v>747</v>
      </c>
      <c r="C113" s="2">
        <v>2.72</v>
      </c>
      <c r="D113" s="1" t="s">
        <v>719</v>
      </c>
      <c r="E113" s="1" t="s">
        <v>711</v>
      </c>
      <c r="F113" t="str" cm="1">
        <f t="array" ref="F113">_xlfn.SWITCH(MID(E113,6,1),"S","Sucker","C","Crown","N","Nursery","")</f>
        <v>Crown</v>
      </c>
      <c r="G113" t="str" cm="1">
        <f t="array" ref="G113">_xlfn.SWITCH(MID(E113,7,1),"S","Sedang","K","Kecil","B","Besar","")</f>
        <v>Kecil</v>
      </c>
    </row>
    <row r="114" spans="1:7" x14ac:dyDescent="0.3">
      <c r="A114" s="1" t="s">
        <v>113</v>
      </c>
      <c r="B114" s="1" t="s">
        <v>747</v>
      </c>
      <c r="C114" s="2">
        <v>9.9499999999999993</v>
      </c>
      <c r="D114" s="1" t="s">
        <v>719</v>
      </c>
      <c r="E114" s="1" t="s">
        <v>707</v>
      </c>
      <c r="F114" t="str" cm="1">
        <f t="array" ref="F114">_xlfn.SWITCH(MID(E114,6,1),"S","Sucker","C","Crown","N","Nursery","")</f>
        <v>Sucker</v>
      </c>
      <c r="G114" t="str" cm="1">
        <f t="array" ref="G114">_xlfn.SWITCH(MID(E114,7,1),"S","Sedang","K","Kecil","B","Besar","")</f>
        <v>Sedang</v>
      </c>
    </row>
    <row r="115" spans="1:7" x14ac:dyDescent="0.3">
      <c r="A115" s="1" t="s">
        <v>114</v>
      </c>
      <c r="B115" s="1" t="s">
        <v>747</v>
      </c>
      <c r="C115" s="2">
        <v>5.88</v>
      </c>
      <c r="D115" s="1" t="s">
        <v>755</v>
      </c>
      <c r="E115" s="1" t="s">
        <v>710</v>
      </c>
      <c r="F115" t="str" cm="1">
        <f t="array" ref="F115">_xlfn.SWITCH(MID(E115,6,1),"S","Sucker","C","Crown","N","Nursery","")</f>
        <v/>
      </c>
      <c r="G115" t="str" cm="1">
        <f t="array" ref="G115">_xlfn.SWITCH(MID(E115,7,1),"S","Sedang","K","Kecil","B","Besar","")</f>
        <v/>
      </c>
    </row>
    <row r="116" spans="1:7" x14ac:dyDescent="0.3">
      <c r="A116" s="1" t="s">
        <v>115</v>
      </c>
      <c r="B116" s="1" t="s">
        <v>747</v>
      </c>
      <c r="C116" s="2">
        <v>7.74</v>
      </c>
      <c r="D116" s="1" t="s">
        <v>716</v>
      </c>
      <c r="E116" s="1" t="s">
        <v>710</v>
      </c>
      <c r="F116" t="str" cm="1">
        <f t="array" ref="F116">_xlfn.SWITCH(MID(E116,6,1),"S","Sucker","C","Crown","N","Nursery","")</f>
        <v/>
      </c>
      <c r="G116" t="str" cm="1">
        <f t="array" ref="G116">_xlfn.SWITCH(MID(E116,7,1),"S","Sedang","K","Kecil","B","Besar","")</f>
        <v/>
      </c>
    </row>
    <row r="117" spans="1:7" x14ac:dyDescent="0.3">
      <c r="A117" s="1" t="s">
        <v>116</v>
      </c>
      <c r="B117" s="1" t="s">
        <v>747</v>
      </c>
      <c r="C117" s="2">
        <v>10.79</v>
      </c>
      <c r="D117" s="1" t="s">
        <v>756</v>
      </c>
      <c r="E117" s="1" t="s">
        <v>707</v>
      </c>
      <c r="F117" t="str" cm="1">
        <f t="array" ref="F117">_xlfn.SWITCH(MID(E117,6,1),"S","Sucker","C","Crown","N","Nursery","")</f>
        <v>Sucker</v>
      </c>
      <c r="G117" t="str" cm="1">
        <f t="array" ref="G117">_xlfn.SWITCH(MID(E117,7,1),"S","Sedang","K","Kecil","B","Besar","")</f>
        <v>Sedang</v>
      </c>
    </row>
    <row r="118" spans="1:7" x14ac:dyDescent="0.3">
      <c r="A118" s="1" t="s">
        <v>117</v>
      </c>
      <c r="B118" s="1" t="s">
        <v>747</v>
      </c>
      <c r="C118" s="2">
        <v>5.84</v>
      </c>
      <c r="D118" s="1" t="s">
        <v>713</v>
      </c>
      <c r="E118" s="1" t="s">
        <v>710</v>
      </c>
      <c r="F118" t="str" cm="1">
        <f t="array" ref="F118">_xlfn.SWITCH(MID(E118,6,1),"S","Sucker","C","Crown","N","Nursery","")</f>
        <v/>
      </c>
      <c r="G118" t="str" cm="1">
        <f t="array" ref="G118">_xlfn.SWITCH(MID(E118,7,1),"S","Sedang","K","Kecil","B","Besar","")</f>
        <v/>
      </c>
    </row>
    <row r="119" spans="1:7" x14ac:dyDescent="0.3">
      <c r="A119" s="1" t="s">
        <v>118</v>
      </c>
      <c r="B119" s="1" t="s">
        <v>747</v>
      </c>
      <c r="C119" s="2">
        <v>6.28</v>
      </c>
      <c r="D119" s="1" t="s">
        <v>756</v>
      </c>
      <c r="E119" s="1" t="s">
        <v>734</v>
      </c>
      <c r="F119" t="str" cm="1">
        <f t="array" ref="F119">_xlfn.SWITCH(MID(E119,6,1),"S","Sucker","C","Crown","N","Nursery","")</f>
        <v>Sucker</v>
      </c>
      <c r="G119" t="str" cm="1">
        <f t="array" ref="G119">_xlfn.SWITCH(MID(E119,7,1),"S","Sedang","K","Kecil","B","Besar","")</f>
        <v>Kecil</v>
      </c>
    </row>
    <row r="120" spans="1:7" x14ac:dyDescent="0.3">
      <c r="A120" s="1" t="s">
        <v>119</v>
      </c>
      <c r="B120" s="1" t="s">
        <v>747</v>
      </c>
      <c r="C120" s="2">
        <v>9.4499999999999993</v>
      </c>
      <c r="D120" s="1" t="s">
        <v>757</v>
      </c>
      <c r="E120" s="1" t="s">
        <v>710</v>
      </c>
      <c r="F120" t="str" cm="1">
        <f t="array" ref="F120">_xlfn.SWITCH(MID(E120,6,1),"S","Sucker","C","Crown","N","Nursery","")</f>
        <v/>
      </c>
      <c r="G120" t="str" cm="1">
        <f t="array" ref="G120">_xlfn.SWITCH(MID(E120,7,1),"S","Sedang","K","Kecil","B","Besar","")</f>
        <v/>
      </c>
    </row>
    <row r="121" spans="1:7" x14ac:dyDescent="0.3">
      <c r="A121" s="1" t="s">
        <v>120</v>
      </c>
      <c r="B121" s="1" t="s">
        <v>747</v>
      </c>
      <c r="C121" s="2">
        <v>5.14</v>
      </c>
      <c r="D121" s="1" t="s">
        <v>738</v>
      </c>
      <c r="E121" s="1" t="s">
        <v>711</v>
      </c>
      <c r="F121" t="str" cm="1">
        <f t="array" ref="F121">_xlfn.SWITCH(MID(E121,6,1),"S","Sucker","C","Crown","N","Nursery","")</f>
        <v>Crown</v>
      </c>
      <c r="G121" t="str" cm="1">
        <f t="array" ref="G121">_xlfn.SWITCH(MID(E121,7,1),"S","Sedang","K","Kecil","B","Besar","")</f>
        <v>Kecil</v>
      </c>
    </row>
    <row r="122" spans="1:7" x14ac:dyDescent="0.3">
      <c r="A122" s="1" t="s">
        <v>121</v>
      </c>
      <c r="B122" s="1" t="s">
        <v>747</v>
      </c>
      <c r="C122" s="2">
        <v>7.61</v>
      </c>
      <c r="D122" s="1" t="s">
        <v>758</v>
      </c>
      <c r="E122" s="1" t="s">
        <v>710</v>
      </c>
      <c r="F122" t="str" cm="1">
        <f t="array" ref="F122">_xlfn.SWITCH(MID(E122,6,1),"S","Sucker","C","Crown","N","Nursery","")</f>
        <v/>
      </c>
      <c r="G122" t="str" cm="1">
        <f t="array" ref="G122">_xlfn.SWITCH(MID(E122,7,1),"S","Sedang","K","Kecil","B","Besar","")</f>
        <v/>
      </c>
    </row>
    <row r="123" spans="1:7" x14ac:dyDescent="0.3">
      <c r="A123" s="1" t="s">
        <v>122</v>
      </c>
      <c r="B123" s="1" t="s">
        <v>747</v>
      </c>
      <c r="C123" s="2">
        <v>2.02</v>
      </c>
      <c r="D123" s="1" t="s">
        <v>754</v>
      </c>
      <c r="E123" s="1" t="s">
        <v>711</v>
      </c>
      <c r="F123" t="str" cm="1">
        <f t="array" ref="F123">_xlfn.SWITCH(MID(E123,6,1),"S","Sucker","C","Crown","N","Nursery","")</f>
        <v>Crown</v>
      </c>
      <c r="G123" t="str" cm="1">
        <f t="array" ref="G123">_xlfn.SWITCH(MID(E123,7,1),"S","Sedang","K","Kecil","B","Besar","")</f>
        <v>Kecil</v>
      </c>
    </row>
    <row r="124" spans="1:7" x14ac:dyDescent="0.3">
      <c r="A124" s="1" t="s">
        <v>123</v>
      </c>
      <c r="B124" s="1" t="s">
        <v>747</v>
      </c>
      <c r="C124" s="2">
        <v>6.48</v>
      </c>
      <c r="D124" s="1" t="s">
        <v>723</v>
      </c>
      <c r="E124" s="1" t="s">
        <v>710</v>
      </c>
      <c r="F124" t="str" cm="1">
        <f t="array" ref="F124">_xlfn.SWITCH(MID(E124,6,1),"S","Sucker","C","Crown","N","Nursery","")</f>
        <v/>
      </c>
      <c r="G124" t="str" cm="1">
        <f t="array" ref="G124">_xlfn.SWITCH(MID(E124,7,1),"S","Sedang","K","Kecil","B","Besar","")</f>
        <v/>
      </c>
    </row>
    <row r="125" spans="1:7" x14ac:dyDescent="0.3">
      <c r="A125" s="1" t="s">
        <v>124</v>
      </c>
      <c r="B125" s="1" t="s">
        <v>747</v>
      </c>
      <c r="C125" s="2">
        <v>7.19</v>
      </c>
      <c r="D125" s="1" t="s">
        <v>719</v>
      </c>
      <c r="E125" s="1" t="s">
        <v>711</v>
      </c>
      <c r="F125" t="str" cm="1">
        <f t="array" ref="F125">_xlfn.SWITCH(MID(E125,6,1),"S","Sucker","C","Crown","N","Nursery","")</f>
        <v>Crown</v>
      </c>
      <c r="G125" t="str" cm="1">
        <f t="array" ref="G125">_xlfn.SWITCH(MID(E125,7,1),"S","Sedang","K","Kecil","B","Besar","")</f>
        <v>Kecil</v>
      </c>
    </row>
    <row r="126" spans="1:7" x14ac:dyDescent="0.3">
      <c r="A126" s="1" t="s">
        <v>125</v>
      </c>
      <c r="B126" s="1" t="s">
        <v>747</v>
      </c>
      <c r="C126" s="2">
        <v>7.64</v>
      </c>
      <c r="D126" s="1" t="s">
        <v>738</v>
      </c>
      <c r="E126" s="1" t="s">
        <v>707</v>
      </c>
      <c r="F126" t="str" cm="1">
        <f t="array" ref="F126">_xlfn.SWITCH(MID(E126,6,1),"S","Sucker","C","Crown","N","Nursery","")</f>
        <v>Sucker</v>
      </c>
      <c r="G126" t="str" cm="1">
        <f t="array" ref="G126">_xlfn.SWITCH(MID(E126,7,1),"S","Sedang","K","Kecil","B","Besar","")</f>
        <v>Sedang</v>
      </c>
    </row>
    <row r="127" spans="1:7" x14ac:dyDescent="0.3">
      <c r="A127" s="1" t="s">
        <v>126</v>
      </c>
      <c r="B127" s="1" t="s">
        <v>747</v>
      </c>
      <c r="C127" s="2">
        <v>5.51</v>
      </c>
      <c r="D127" s="1" t="s">
        <v>737</v>
      </c>
      <c r="E127" s="1" t="s">
        <v>711</v>
      </c>
      <c r="F127" t="str" cm="1">
        <f t="array" ref="F127">_xlfn.SWITCH(MID(E127,6,1),"S","Sucker","C","Crown","N","Nursery","")</f>
        <v>Crown</v>
      </c>
      <c r="G127" t="str" cm="1">
        <f t="array" ref="G127">_xlfn.SWITCH(MID(E127,7,1),"S","Sedang","K","Kecil","B","Besar","")</f>
        <v>Kecil</v>
      </c>
    </row>
    <row r="128" spans="1:7" x14ac:dyDescent="0.3">
      <c r="A128" s="1" t="s">
        <v>127</v>
      </c>
      <c r="B128" s="1" t="s">
        <v>747</v>
      </c>
      <c r="C128" s="3">
        <v>12</v>
      </c>
      <c r="D128" s="1" t="s">
        <v>759</v>
      </c>
      <c r="E128" s="1" t="s">
        <v>710</v>
      </c>
      <c r="F128" t="str" cm="1">
        <f t="array" ref="F128">_xlfn.SWITCH(MID(E128,6,1),"S","Sucker","C","Crown","N","Nursery","")</f>
        <v/>
      </c>
      <c r="G128" t="str" cm="1">
        <f t="array" ref="G128">_xlfn.SWITCH(MID(E128,7,1),"S","Sedang","K","Kecil","B","Besar","")</f>
        <v/>
      </c>
    </row>
    <row r="129" spans="1:7" x14ac:dyDescent="0.3">
      <c r="A129" s="1" t="s">
        <v>128</v>
      </c>
      <c r="B129" s="1" t="s">
        <v>747</v>
      </c>
      <c r="C129" s="2">
        <v>5.43</v>
      </c>
      <c r="D129" s="1" t="s">
        <v>732</v>
      </c>
      <c r="E129" s="1" t="s">
        <v>710</v>
      </c>
      <c r="F129" t="str" cm="1">
        <f t="array" ref="F129">_xlfn.SWITCH(MID(E129,6,1),"S","Sucker","C","Crown","N","Nursery","")</f>
        <v/>
      </c>
      <c r="G129" t="str" cm="1">
        <f t="array" ref="G129">_xlfn.SWITCH(MID(E129,7,1),"S","Sedang","K","Kecil","B","Besar","")</f>
        <v/>
      </c>
    </row>
    <row r="130" spans="1:7" x14ac:dyDescent="0.3">
      <c r="A130" s="1" t="s">
        <v>129</v>
      </c>
      <c r="B130" s="1" t="s">
        <v>747</v>
      </c>
      <c r="C130" s="2">
        <v>4.68</v>
      </c>
      <c r="D130" s="1" t="s">
        <v>758</v>
      </c>
      <c r="E130" s="1" t="s">
        <v>710</v>
      </c>
      <c r="F130" t="str" cm="1">
        <f t="array" ref="F130">_xlfn.SWITCH(MID(E130,6,1),"S","Sucker","C","Crown","N","Nursery","")</f>
        <v/>
      </c>
      <c r="G130" t="str" cm="1">
        <f t="array" ref="G130">_xlfn.SWITCH(MID(E130,7,1),"S","Sedang","K","Kecil","B","Besar","")</f>
        <v/>
      </c>
    </row>
    <row r="131" spans="1:7" x14ac:dyDescent="0.3">
      <c r="A131" s="1" t="s">
        <v>130</v>
      </c>
      <c r="B131" s="1" t="s">
        <v>747</v>
      </c>
      <c r="C131" s="2">
        <v>8.8699999999999992</v>
      </c>
      <c r="D131" s="1" t="s">
        <v>717</v>
      </c>
      <c r="E131" s="1" t="s">
        <v>711</v>
      </c>
      <c r="F131" t="str" cm="1">
        <f t="array" ref="F131">_xlfn.SWITCH(MID(E131,6,1),"S","Sucker","C","Crown","N","Nursery","")</f>
        <v>Crown</v>
      </c>
      <c r="G131" t="str" cm="1">
        <f t="array" ref="G131">_xlfn.SWITCH(MID(E131,7,1),"S","Sedang","K","Kecil","B","Besar","")</f>
        <v>Kecil</v>
      </c>
    </row>
    <row r="132" spans="1:7" x14ac:dyDescent="0.3">
      <c r="A132" s="1" t="s">
        <v>131</v>
      </c>
      <c r="B132" s="1" t="s">
        <v>747</v>
      </c>
      <c r="C132" s="2">
        <v>8.44</v>
      </c>
      <c r="D132" s="1" t="s">
        <v>723</v>
      </c>
      <c r="E132" s="1" t="s">
        <v>710</v>
      </c>
      <c r="F132" t="str" cm="1">
        <f t="array" ref="F132">_xlfn.SWITCH(MID(E132,6,1),"S","Sucker","C","Crown","N","Nursery","")</f>
        <v/>
      </c>
      <c r="G132" t="str" cm="1">
        <f t="array" ref="G132">_xlfn.SWITCH(MID(E132,7,1),"S","Sedang","K","Kecil","B","Besar","")</f>
        <v/>
      </c>
    </row>
    <row r="133" spans="1:7" x14ac:dyDescent="0.3">
      <c r="A133" s="1" t="s">
        <v>132</v>
      </c>
      <c r="B133" s="1" t="s">
        <v>747</v>
      </c>
      <c r="C133" s="2">
        <v>4.67</v>
      </c>
      <c r="D133" s="1" t="s">
        <v>723</v>
      </c>
      <c r="E133" s="1" t="s">
        <v>710</v>
      </c>
      <c r="F133" t="str" cm="1">
        <f t="array" ref="F133">_xlfn.SWITCH(MID(E133,6,1),"S","Sucker","C","Crown","N","Nursery","")</f>
        <v/>
      </c>
      <c r="G133" t="str" cm="1">
        <f t="array" ref="G133">_xlfn.SWITCH(MID(E133,7,1),"S","Sedang","K","Kecil","B","Besar","")</f>
        <v/>
      </c>
    </row>
    <row r="134" spans="1:7" x14ac:dyDescent="0.3">
      <c r="A134" s="1" t="s">
        <v>133</v>
      </c>
      <c r="B134" s="1" t="s">
        <v>747</v>
      </c>
      <c r="C134" s="2">
        <v>5.18</v>
      </c>
      <c r="D134" s="1" t="s">
        <v>760</v>
      </c>
      <c r="E134" s="1" t="s">
        <v>710</v>
      </c>
      <c r="F134" t="str" cm="1">
        <f t="array" ref="F134">_xlfn.SWITCH(MID(E134,6,1),"S","Sucker","C","Crown","N","Nursery","")</f>
        <v/>
      </c>
      <c r="G134" t="str" cm="1">
        <f t="array" ref="G134">_xlfn.SWITCH(MID(E134,7,1),"S","Sedang","K","Kecil","B","Besar","")</f>
        <v/>
      </c>
    </row>
    <row r="135" spans="1:7" x14ac:dyDescent="0.3">
      <c r="A135" s="1" t="s">
        <v>134</v>
      </c>
      <c r="B135" s="1" t="s">
        <v>705</v>
      </c>
      <c r="C135" s="2">
        <v>11.66</v>
      </c>
      <c r="D135" s="1" t="s">
        <v>761</v>
      </c>
      <c r="E135" s="1" t="s">
        <v>711</v>
      </c>
      <c r="F135" t="str" cm="1">
        <f t="array" ref="F135">_xlfn.SWITCH(MID(E135,6,1),"S","Sucker","C","Crown","N","Nursery","")</f>
        <v>Crown</v>
      </c>
      <c r="G135" t="str" cm="1">
        <f t="array" ref="G135">_xlfn.SWITCH(MID(E135,7,1),"S","Sedang","K","Kecil","B","Besar","")</f>
        <v>Kecil</v>
      </c>
    </row>
    <row r="136" spans="1:7" x14ac:dyDescent="0.3">
      <c r="A136" s="1" t="s">
        <v>135</v>
      </c>
      <c r="B136" s="1" t="s">
        <v>705</v>
      </c>
      <c r="C136" s="2">
        <v>10.25</v>
      </c>
      <c r="D136" s="1" t="s">
        <v>745</v>
      </c>
      <c r="E136" s="1" t="s">
        <v>710</v>
      </c>
      <c r="F136" t="str" cm="1">
        <f t="array" ref="F136">_xlfn.SWITCH(MID(E136,6,1),"S","Sucker","C","Crown","N","Nursery","")</f>
        <v/>
      </c>
      <c r="G136" t="str" cm="1">
        <f t="array" ref="G136">_xlfn.SWITCH(MID(E136,7,1),"S","Sedang","K","Kecil","B","Besar","")</f>
        <v/>
      </c>
    </row>
    <row r="137" spans="1:7" x14ac:dyDescent="0.3">
      <c r="A137" s="1" t="s">
        <v>136</v>
      </c>
      <c r="B137" s="1" t="s">
        <v>705</v>
      </c>
      <c r="C137" s="2">
        <v>2.89</v>
      </c>
      <c r="D137" s="1" t="s">
        <v>745</v>
      </c>
      <c r="E137" s="1" t="s">
        <v>710</v>
      </c>
      <c r="F137" t="str" cm="1">
        <f t="array" ref="F137">_xlfn.SWITCH(MID(E137,6,1),"S","Sucker","C","Crown","N","Nursery","")</f>
        <v/>
      </c>
      <c r="G137" t="str" cm="1">
        <f t="array" ref="G137">_xlfn.SWITCH(MID(E137,7,1),"S","Sedang","K","Kecil","B","Besar","")</f>
        <v/>
      </c>
    </row>
    <row r="138" spans="1:7" x14ac:dyDescent="0.3">
      <c r="A138" s="1" t="s">
        <v>137</v>
      </c>
      <c r="B138" s="1" t="s">
        <v>705</v>
      </c>
      <c r="C138" s="2">
        <v>6.23</v>
      </c>
      <c r="D138" s="1" t="s">
        <v>725</v>
      </c>
      <c r="E138" s="1" t="s">
        <v>710</v>
      </c>
      <c r="F138" t="str" cm="1">
        <f t="array" ref="F138">_xlfn.SWITCH(MID(E138,6,1),"S","Sucker","C","Crown","N","Nursery","")</f>
        <v/>
      </c>
      <c r="G138" t="str" cm="1">
        <f t="array" ref="G138">_xlfn.SWITCH(MID(E138,7,1),"S","Sedang","K","Kecil","B","Besar","")</f>
        <v/>
      </c>
    </row>
    <row r="139" spans="1:7" x14ac:dyDescent="0.3">
      <c r="A139" s="1" t="s">
        <v>138</v>
      </c>
      <c r="B139" s="1" t="s">
        <v>705</v>
      </c>
      <c r="C139" s="2">
        <v>5.5</v>
      </c>
      <c r="D139" s="1" t="s">
        <v>713</v>
      </c>
      <c r="E139" s="1" t="s">
        <v>710</v>
      </c>
      <c r="F139" t="str" cm="1">
        <f t="array" ref="F139">_xlfn.SWITCH(MID(E139,6,1),"S","Sucker","C","Crown","N","Nursery","")</f>
        <v/>
      </c>
      <c r="G139" t="str" cm="1">
        <f t="array" ref="G139">_xlfn.SWITCH(MID(E139,7,1),"S","Sedang","K","Kecil","B","Besar","")</f>
        <v/>
      </c>
    </row>
    <row r="140" spans="1:7" x14ac:dyDescent="0.3">
      <c r="A140" s="1" t="s">
        <v>139</v>
      </c>
      <c r="B140" s="1" t="s">
        <v>705</v>
      </c>
      <c r="C140" s="2">
        <v>3.38</v>
      </c>
      <c r="D140" s="1" t="s">
        <v>708</v>
      </c>
      <c r="E140" s="1" t="s">
        <v>707</v>
      </c>
      <c r="F140" t="str" cm="1">
        <f t="array" ref="F140">_xlfn.SWITCH(MID(E140,6,1),"S","Sucker","C","Crown","N","Nursery","")</f>
        <v>Sucker</v>
      </c>
      <c r="G140" t="str" cm="1">
        <f t="array" ref="G140">_xlfn.SWITCH(MID(E140,7,1),"S","Sedang","K","Kecil","B","Besar","")</f>
        <v>Sedang</v>
      </c>
    </row>
    <row r="141" spans="1:7" x14ac:dyDescent="0.3">
      <c r="A141" s="1" t="s">
        <v>140</v>
      </c>
      <c r="B141" s="1" t="s">
        <v>705</v>
      </c>
      <c r="C141" s="2">
        <v>2.48</v>
      </c>
      <c r="D141" s="1" t="s">
        <v>708</v>
      </c>
      <c r="E141" s="1" t="s">
        <v>707</v>
      </c>
      <c r="F141" t="str" cm="1">
        <f t="array" ref="F141">_xlfn.SWITCH(MID(E141,6,1),"S","Sucker","C","Crown","N","Nursery","")</f>
        <v>Sucker</v>
      </c>
      <c r="G141" t="str" cm="1">
        <f t="array" ref="G141">_xlfn.SWITCH(MID(E141,7,1),"S","Sedang","K","Kecil","B","Besar","")</f>
        <v>Sedang</v>
      </c>
    </row>
    <row r="142" spans="1:7" x14ac:dyDescent="0.3">
      <c r="A142" s="1" t="s">
        <v>141</v>
      </c>
      <c r="B142" s="1" t="s">
        <v>705</v>
      </c>
      <c r="C142" s="2">
        <v>6.34</v>
      </c>
      <c r="D142" s="1" t="s">
        <v>718</v>
      </c>
      <c r="E142" s="1" t="s">
        <v>710</v>
      </c>
      <c r="F142" t="str" cm="1">
        <f t="array" ref="F142">_xlfn.SWITCH(MID(E142,6,1),"S","Sucker","C","Crown","N","Nursery","")</f>
        <v/>
      </c>
      <c r="G142" t="str" cm="1">
        <f t="array" ref="G142">_xlfn.SWITCH(MID(E142,7,1),"S","Sedang","K","Kecil","B","Besar","")</f>
        <v/>
      </c>
    </row>
    <row r="143" spans="1:7" x14ac:dyDescent="0.3">
      <c r="A143" s="1" t="s">
        <v>142</v>
      </c>
      <c r="B143" s="1" t="s">
        <v>705</v>
      </c>
      <c r="C143" s="2">
        <v>5.77</v>
      </c>
      <c r="D143" s="1" t="s">
        <v>731</v>
      </c>
      <c r="E143" s="1" t="s">
        <v>734</v>
      </c>
      <c r="F143" t="str" cm="1">
        <f t="array" ref="F143">_xlfn.SWITCH(MID(E143,6,1),"S","Sucker","C","Crown","N","Nursery","")</f>
        <v>Sucker</v>
      </c>
      <c r="G143" t="str" cm="1">
        <f t="array" ref="G143">_xlfn.SWITCH(MID(E143,7,1),"S","Sedang","K","Kecil","B","Besar","")</f>
        <v>Kecil</v>
      </c>
    </row>
    <row r="144" spans="1:7" x14ac:dyDescent="0.3">
      <c r="A144" s="1" t="s">
        <v>143</v>
      </c>
      <c r="B144" s="1" t="s">
        <v>705</v>
      </c>
      <c r="C144" s="2">
        <v>7.22</v>
      </c>
      <c r="D144" s="1" t="s">
        <v>718</v>
      </c>
      <c r="E144" s="1" t="s">
        <v>710</v>
      </c>
      <c r="F144" t="str" cm="1">
        <f t="array" ref="F144">_xlfn.SWITCH(MID(E144,6,1),"S","Sucker","C","Crown","N","Nursery","")</f>
        <v/>
      </c>
      <c r="G144" t="str" cm="1">
        <f t="array" ref="G144">_xlfn.SWITCH(MID(E144,7,1),"S","Sedang","K","Kecil","B","Besar","")</f>
        <v/>
      </c>
    </row>
    <row r="145" spans="1:7" x14ac:dyDescent="0.3">
      <c r="A145" s="1" t="s">
        <v>144</v>
      </c>
      <c r="B145" s="1" t="s">
        <v>705</v>
      </c>
      <c r="C145" s="2">
        <v>12.3</v>
      </c>
      <c r="D145" s="1" t="s">
        <v>762</v>
      </c>
      <c r="E145" s="1" t="s">
        <v>710</v>
      </c>
      <c r="F145" t="str" cm="1">
        <f t="array" ref="F145">_xlfn.SWITCH(MID(E145,6,1),"S","Sucker","C","Crown","N","Nursery","")</f>
        <v/>
      </c>
      <c r="G145" t="str" cm="1">
        <f t="array" ref="G145">_xlfn.SWITCH(MID(E145,7,1),"S","Sedang","K","Kecil","B","Besar","")</f>
        <v/>
      </c>
    </row>
    <row r="146" spans="1:7" x14ac:dyDescent="0.3">
      <c r="A146" s="1" t="s">
        <v>145</v>
      </c>
      <c r="B146" s="1" t="s">
        <v>747</v>
      </c>
      <c r="C146" s="2">
        <v>12.64</v>
      </c>
      <c r="D146" s="1" t="s">
        <v>743</v>
      </c>
      <c r="E146" s="1" t="s">
        <v>707</v>
      </c>
      <c r="F146" t="str" cm="1">
        <f t="array" ref="F146">_xlfn.SWITCH(MID(E146,6,1),"S","Sucker","C","Crown","N","Nursery","")</f>
        <v>Sucker</v>
      </c>
      <c r="G146" t="str" cm="1">
        <f t="array" ref="G146">_xlfn.SWITCH(MID(E146,7,1),"S","Sedang","K","Kecil","B","Besar","")</f>
        <v>Sedang</v>
      </c>
    </row>
    <row r="147" spans="1:7" x14ac:dyDescent="0.3">
      <c r="A147" s="1" t="s">
        <v>146</v>
      </c>
      <c r="B147" s="1" t="s">
        <v>747</v>
      </c>
      <c r="C147" s="2">
        <v>5.85</v>
      </c>
      <c r="D147" s="1" t="s">
        <v>708</v>
      </c>
      <c r="E147" s="1" t="s">
        <v>711</v>
      </c>
      <c r="F147" t="str" cm="1">
        <f t="array" ref="F147">_xlfn.SWITCH(MID(E147,6,1),"S","Sucker","C","Crown","N","Nursery","")</f>
        <v>Crown</v>
      </c>
      <c r="G147" t="str" cm="1">
        <f t="array" ref="G147">_xlfn.SWITCH(MID(E147,7,1),"S","Sedang","K","Kecil","B","Besar","")</f>
        <v>Kecil</v>
      </c>
    </row>
    <row r="148" spans="1:7" x14ac:dyDescent="0.3">
      <c r="A148" s="1" t="s">
        <v>147</v>
      </c>
      <c r="B148" s="1" t="s">
        <v>747</v>
      </c>
      <c r="C148" s="2">
        <v>7.91</v>
      </c>
      <c r="D148" s="1" t="s">
        <v>708</v>
      </c>
      <c r="E148" s="1" t="s">
        <v>736</v>
      </c>
      <c r="F148" t="str" cm="1">
        <f t="array" ref="F148">_xlfn.SWITCH(MID(E148,6,1),"S","Sucker","C","Crown","N","Nursery","")</f>
        <v>Crown</v>
      </c>
      <c r="G148" t="str" cm="1">
        <f t="array" ref="G148">_xlfn.SWITCH(MID(E148,7,1),"S","Sedang","K","Kecil","B","Besar","")</f>
        <v/>
      </c>
    </row>
    <row r="149" spans="1:7" x14ac:dyDescent="0.3">
      <c r="A149" s="1" t="s">
        <v>148</v>
      </c>
      <c r="B149" s="1" t="s">
        <v>747</v>
      </c>
      <c r="C149" s="2">
        <v>4.5199999999999996</v>
      </c>
      <c r="D149" s="1" t="s">
        <v>706</v>
      </c>
      <c r="E149" s="1" t="s">
        <v>711</v>
      </c>
      <c r="F149" t="str" cm="1">
        <f t="array" ref="F149">_xlfn.SWITCH(MID(E149,6,1),"S","Sucker","C","Crown","N","Nursery","")</f>
        <v>Crown</v>
      </c>
      <c r="G149" t="str" cm="1">
        <f t="array" ref="G149">_xlfn.SWITCH(MID(E149,7,1),"S","Sedang","K","Kecil","B","Besar","")</f>
        <v>Kecil</v>
      </c>
    </row>
    <row r="150" spans="1:7" x14ac:dyDescent="0.3">
      <c r="A150" s="1" t="s">
        <v>149</v>
      </c>
      <c r="B150" s="1" t="s">
        <v>747</v>
      </c>
      <c r="C150" s="2">
        <v>7.61</v>
      </c>
      <c r="D150" s="1" t="s">
        <v>761</v>
      </c>
      <c r="E150" s="1" t="s">
        <v>707</v>
      </c>
      <c r="F150" t="str" cm="1">
        <f t="array" ref="F150">_xlfn.SWITCH(MID(E150,6,1),"S","Sucker","C","Crown","N","Nursery","")</f>
        <v>Sucker</v>
      </c>
      <c r="G150" t="str" cm="1">
        <f t="array" ref="G150">_xlfn.SWITCH(MID(E150,7,1),"S","Sedang","K","Kecil","B","Besar","")</f>
        <v>Sedang</v>
      </c>
    </row>
    <row r="151" spans="1:7" x14ac:dyDescent="0.3">
      <c r="A151" s="1" t="s">
        <v>150</v>
      </c>
      <c r="B151" s="1" t="s">
        <v>747</v>
      </c>
      <c r="C151" s="2">
        <v>10.46</v>
      </c>
      <c r="D151" s="1" t="s">
        <v>716</v>
      </c>
      <c r="E151" s="1" t="s">
        <v>710</v>
      </c>
      <c r="F151" t="str" cm="1">
        <f t="array" ref="F151">_xlfn.SWITCH(MID(E151,6,1),"S","Sucker","C","Crown","N","Nursery","")</f>
        <v/>
      </c>
      <c r="G151" t="str" cm="1">
        <f t="array" ref="G151">_xlfn.SWITCH(MID(E151,7,1),"S","Sedang","K","Kecil","B","Besar","")</f>
        <v/>
      </c>
    </row>
    <row r="152" spans="1:7" x14ac:dyDescent="0.3">
      <c r="A152" s="1" t="s">
        <v>151</v>
      </c>
      <c r="B152" s="1" t="s">
        <v>747</v>
      </c>
      <c r="C152" s="2">
        <v>8.3000000000000007</v>
      </c>
      <c r="D152" s="1" t="s">
        <v>750</v>
      </c>
      <c r="E152" s="1" t="s">
        <v>710</v>
      </c>
      <c r="F152" t="str" cm="1">
        <f t="array" ref="F152">_xlfn.SWITCH(MID(E152,6,1),"S","Sucker","C","Crown","N","Nursery","")</f>
        <v/>
      </c>
      <c r="G152" t="str" cm="1">
        <f t="array" ref="G152">_xlfn.SWITCH(MID(E152,7,1),"S","Sedang","K","Kecil","B","Besar","")</f>
        <v/>
      </c>
    </row>
    <row r="153" spans="1:7" x14ac:dyDescent="0.3">
      <c r="A153" s="1" t="s">
        <v>152</v>
      </c>
      <c r="B153" s="1" t="s">
        <v>747</v>
      </c>
      <c r="C153" s="2">
        <v>5.37</v>
      </c>
      <c r="D153" s="1" t="s">
        <v>757</v>
      </c>
      <c r="E153" s="1" t="s">
        <v>710</v>
      </c>
      <c r="F153" t="str" cm="1">
        <f t="array" ref="F153">_xlfn.SWITCH(MID(E153,6,1),"S","Sucker","C","Crown","N","Nursery","")</f>
        <v/>
      </c>
      <c r="G153" t="str" cm="1">
        <f t="array" ref="G153">_xlfn.SWITCH(MID(E153,7,1),"S","Sedang","K","Kecil","B","Besar","")</f>
        <v/>
      </c>
    </row>
    <row r="154" spans="1:7" x14ac:dyDescent="0.3">
      <c r="A154" s="1" t="s">
        <v>153</v>
      </c>
      <c r="B154" s="1" t="s">
        <v>747</v>
      </c>
      <c r="C154" s="2">
        <v>6.8</v>
      </c>
      <c r="D154" s="1" t="s">
        <v>716</v>
      </c>
      <c r="E154" s="1" t="s">
        <v>710</v>
      </c>
      <c r="F154" t="str" cm="1">
        <f t="array" ref="F154">_xlfn.SWITCH(MID(E154,6,1),"S","Sucker","C","Crown","N","Nursery","")</f>
        <v/>
      </c>
      <c r="G154" t="str" cm="1">
        <f t="array" ref="G154">_xlfn.SWITCH(MID(E154,7,1),"S","Sedang","K","Kecil","B","Besar","")</f>
        <v/>
      </c>
    </row>
    <row r="155" spans="1:7" x14ac:dyDescent="0.3">
      <c r="A155" s="1" t="s">
        <v>154</v>
      </c>
      <c r="B155" s="1" t="s">
        <v>747</v>
      </c>
      <c r="C155" s="2">
        <v>6.4</v>
      </c>
      <c r="D155" s="1" t="s">
        <v>756</v>
      </c>
      <c r="E155" s="1" t="s">
        <v>707</v>
      </c>
      <c r="F155" t="str" cm="1">
        <f t="array" ref="F155">_xlfn.SWITCH(MID(E155,6,1),"S","Sucker","C","Crown","N","Nursery","")</f>
        <v>Sucker</v>
      </c>
      <c r="G155" t="str" cm="1">
        <f t="array" ref="G155">_xlfn.SWITCH(MID(E155,7,1),"S","Sedang","K","Kecil","B","Besar","")</f>
        <v>Sedang</v>
      </c>
    </row>
    <row r="156" spans="1:7" x14ac:dyDescent="0.3">
      <c r="A156" s="1" t="s">
        <v>155</v>
      </c>
      <c r="B156" s="1" t="s">
        <v>747</v>
      </c>
      <c r="C156" s="2">
        <v>5.0199999999999996</v>
      </c>
      <c r="D156" s="1" t="s">
        <v>756</v>
      </c>
      <c r="E156" s="1" t="s">
        <v>734</v>
      </c>
      <c r="F156" t="str" cm="1">
        <f t="array" ref="F156">_xlfn.SWITCH(MID(E156,6,1),"S","Sucker","C","Crown","N","Nursery","")</f>
        <v>Sucker</v>
      </c>
      <c r="G156" t="str" cm="1">
        <f t="array" ref="G156">_xlfn.SWITCH(MID(E156,7,1),"S","Sedang","K","Kecil","B","Besar","")</f>
        <v>Kecil</v>
      </c>
    </row>
    <row r="157" spans="1:7" x14ac:dyDescent="0.3">
      <c r="A157" s="1" t="s">
        <v>156</v>
      </c>
      <c r="B157" s="1" t="s">
        <v>747</v>
      </c>
      <c r="C157" s="2">
        <v>3.71</v>
      </c>
      <c r="D157" s="1" t="s">
        <v>737</v>
      </c>
      <c r="E157" s="1" t="s">
        <v>711</v>
      </c>
      <c r="F157" t="str" cm="1">
        <f t="array" ref="F157">_xlfn.SWITCH(MID(E157,6,1),"S","Sucker","C","Crown","N","Nursery","")</f>
        <v>Crown</v>
      </c>
      <c r="G157" t="str" cm="1">
        <f t="array" ref="G157">_xlfn.SWITCH(MID(E157,7,1),"S","Sedang","K","Kecil","B","Besar","")</f>
        <v>Kecil</v>
      </c>
    </row>
    <row r="158" spans="1:7" x14ac:dyDescent="0.3">
      <c r="A158" s="1" t="s">
        <v>157</v>
      </c>
      <c r="B158" s="1" t="s">
        <v>747</v>
      </c>
      <c r="C158" s="2">
        <v>8.68</v>
      </c>
      <c r="D158" s="1" t="s">
        <v>716</v>
      </c>
      <c r="E158" s="1" t="s">
        <v>710</v>
      </c>
      <c r="F158" t="str" cm="1">
        <f t="array" ref="F158">_xlfn.SWITCH(MID(E158,6,1),"S","Sucker","C","Crown","N","Nursery","")</f>
        <v/>
      </c>
      <c r="G158" t="str" cm="1">
        <f t="array" ref="G158">_xlfn.SWITCH(MID(E158,7,1),"S","Sedang","K","Kecil","B","Besar","")</f>
        <v/>
      </c>
    </row>
    <row r="159" spans="1:7" x14ac:dyDescent="0.3">
      <c r="A159" s="1" t="s">
        <v>158</v>
      </c>
      <c r="B159" s="1" t="s">
        <v>747</v>
      </c>
      <c r="C159" s="2">
        <v>10.25</v>
      </c>
      <c r="D159" s="1" t="s">
        <v>758</v>
      </c>
      <c r="E159" s="1" t="s">
        <v>710</v>
      </c>
      <c r="F159" t="str" cm="1">
        <f t="array" ref="F159">_xlfn.SWITCH(MID(E159,6,1),"S","Sucker","C","Crown","N","Nursery","")</f>
        <v/>
      </c>
      <c r="G159" t="str" cm="1">
        <f t="array" ref="G159">_xlfn.SWITCH(MID(E159,7,1),"S","Sedang","K","Kecil","B","Besar","")</f>
        <v/>
      </c>
    </row>
    <row r="160" spans="1:7" x14ac:dyDescent="0.3">
      <c r="A160" s="1" t="s">
        <v>159</v>
      </c>
      <c r="B160" s="1" t="s">
        <v>747</v>
      </c>
      <c r="C160" s="2">
        <v>4.28</v>
      </c>
      <c r="D160" s="1" t="s">
        <v>706</v>
      </c>
      <c r="E160" s="1" t="s">
        <v>711</v>
      </c>
      <c r="F160" t="str" cm="1">
        <f t="array" ref="F160">_xlfn.SWITCH(MID(E160,6,1),"S","Sucker","C","Crown","N","Nursery","")</f>
        <v>Crown</v>
      </c>
      <c r="G160" t="str" cm="1">
        <f t="array" ref="G160">_xlfn.SWITCH(MID(E160,7,1),"S","Sedang","K","Kecil","B","Besar","")</f>
        <v>Kecil</v>
      </c>
    </row>
    <row r="161" spans="1:7" x14ac:dyDescent="0.3">
      <c r="A161" s="1" t="s">
        <v>160</v>
      </c>
      <c r="B161" s="1" t="s">
        <v>747</v>
      </c>
      <c r="C161" s="2">
        <v>8.36</v>
      </c>
      <c r="D161" s="1" t="s">
        <v>763</v>
      </c>
      <c r="E161" s="1" t="s">
        <v>710</v>
      </c>
      <c r="F161" t="str" cm="1">
        <f t="array" ref="F161">_xlfn.SWITCH(MID(E161,6,1),"S","Sucker","C","Crown","N","Nursery","")</f>
        <v/>
      </c>
      <c r="G161" t="str" cm="1">
        <f t="array" ref="G161">_xlfn.SWITCH(MID(E161,7,1),"S","Sedang","K","Kecil","B","Besar","")</f>
        <v/>
      </c>
    </row>
    <row r="162" spans="1:7" x14ac:dyDescent="0.3">
      <c r="A162" s="1" t="s">
        <v>161</v>
      </c>
      <c r="B162" s="1" t="s">
        <v>747</v>
      </c>
      <c r="C162" s="2">
        <v>6.1</v>
      </c>
      <c r="D162" s="1" t="s">
        <v>745</v>
      </c>
      <c r="E162" s="1" t="s">
        <v>710</v>
      </c>
      <c r="F162" t="str" cm="1">
        <f t="array" ref="F162">_xlfn.SWITCH(MID(E162,6,1),"S","Sucker","C","Crown","N","Nursery","")</f>
        <v/>
      </c>
      <c r="G162" t="str" cm="1">
        <f t="array" ref="G162">_xlfn.SWITCH(MID(E162,7,1),"S","Sedang","K","Kecil","B","Besar","")</f>
        <v/>
      </c>
    </row>
    <row r="163" spans="1:7" x14ac:dyDescent="0.3">
      <c r="A163" s="1" t="s">
        <v>162</v>
      </c>
      <c r="B163" s="1" t="s">
        <v>747</v>
      </c>
      <c r="C163" s="2">
        <v>8.25</v>
      </c>
      <c r="D163" s="1" t="s">
        <v>720</v>
      </c>
      <c r="E163" s="1" t="s">
        <v>711</v>
      </c>
      <c r="F163" t="str" cm="1">
        <f t="array" ref="F163">_xlfn.SWITCH(MID(E163,6,1),"S","Sucker","C","Crown","N","Nursery","")</f>
        <v>Crown</v>
      </c>
      <c r="G163" t="str" cm="1">
        <f t="array" ref="G163">_xlfn.SWITCH(MID(E163,7,1),"S","Sedang","K","Kecil","B","Besar","")</f>
        <v>Kecil</v>
      </c>
    </row>
    <row r="164" spans="1:7" x14ac:dyDescent="0.3">
      <c r="A164" s="1" t="s">
        <v>163</v>
      </c>
      <c r="B164" s="1" t="s">
        <v>747</v>
      </c>
      <c r="C164" s="2">
        <v>5.96</v>
      </c>
      <c r="D164" s="1" t="s">
        <v>737</v>
      </c>
      <c r="E164" s="1" t="s">
        <v>711</v>
      </c>
      <c r="F164" t="str" cm="1">
        <f t="array" ref="F164">_xlfn.SWITCH(MID(E164,6,1),"S","Sucker","C","Crown","N","Nursery","")</f>
        <v>Crown</v>
      </c>
      <c r="G164" t="str" cm="1">
        <f t="array" ref="G164">_xlfn.SWITCH(MID(E164,7,1),"S","Sedang","K","Kecil","B","Besar","")</f>
        <v>Kecil</v>
      </c>
    </row>
    <row r="165" spans="1:7" x14ac:dyDescent="0.3">
      <c r="A165" s="1" t="s">
        <v>164</v>
      </c>
      <c r="B165" s="1" t="s">
        <v>747</v>
      </c>
      <c r="C165" s="2">
        <v>8.75</v>
      </c>
      <c r="D165" s="1" t="s">
        <v>746</v>
      </c>
      <c r="E165" s="1" t="s">
        <v>710</v>
      </c>
      <c r="F165" t="str" cm="1">
        <f t="array" ref="F165">_xlfn.SWITCH(MID(E165,6,1),"S","Sucker","C","Crown","N","Nursery","")</f>
        <v/>
      </c>
      <c r="G165" t="str" cm="1">
        <f t="array" ref="G165">_xlfn.SWITCH(MID(E165,7,1),"S","Sedang","K","Kecil","B","Besar","")</f>
        <v/>
      </c>
    </row>
    <row r="166" spans="1:7" x14ac:dyDescent="0.3">
      <c r="A166" s="1" t="s">
        <v>165</v>
      </c>
      <c r="B166" s="1" t="s">
        <v>747</v>
      </c>
      <c r="C166" s="2">
        <v>8.2200000000000006</v>
      </c>
      <c r="D166" s="1" t="s">
        <v>746</v>
      </c>
      <c r="E166" s="1" t="s">
        <v>710</v>
      </c>
      <c r="F166" t="str" cm="1">
        <f t="array" ref="F166">_xlfn.SWITCH(MID(E166,6,1),"S","Sucker","C","Crown","N","Nursery","")</f>
        <v/>
      </c>
      <c r="G166" t="str" cm="1">
        <f t="array" ref="G166">_xlfn.SWITCH(MID(E166,7,1),"S","Sedang","K","Kecil","B","Besar","")</f>
        <v/>
      </c>
    </row>
    <row r="167" spans="1:7" x14ac:dyDescent="0.3">
      <c r="A167" s="1" t="s">
        <v>166</v>
      </c>
      <c r="B167" s="1" t="s">
        <v>747</v>
      </c>
      <c r="C167" s="2">
        <v>8.9</v>
      </c>
      <c r="D167" s="1" t="s">
        <v>738</v>
      </c>
      <c r="E167" s="1" t="s">
        <v>711</v>
      </c>
      <c r="F167" t="str" cm="1">
        <f t="array" ref="F167">_xlfn.SWITCH(MID(E167,6,1),"S","Sucker","C","Crown","N","Nursery","")</f>
        <v>Crown</v>
      </c>
      <c r="G167" t="str" cm="1">
        <f t="array" ref="G167">_xlfn.SWITCH(MID(E167,7,1),"S","Sedang","K","Kecil","B","Besar","")</f>
        <v>Kecil</v>
      </c>
    </row>
    <row r="168" spans="1:7" x14ac:dyDescent="0.3">
      <c r="A168" s="1" t="s">
        <v>167</v>
      </c>
      <c r="B168" s="1" t="s">
        <v>752</v>
      </c>
      <c r="C168" s="2">
        <v>5.96</v>
      </c>
      <c r="D168" s="1" t="s">
        <v>746</v>
      </c>
      <c r="E168" s="1" t="s">
        <v>710</v>
      </c>
      <c r="F168" t="str" cm="1">
        <f t="array" ref="F168">_xlfn.SWITCH(MID(E168,6,1),"S","Sucker","C","Crown","N","Nursery","")</f>
        <v/>
      </c>
      <c r="G168" t="str" cm="1">
        <f t="array" ref="G168">_xlfn.SWITCH(MID(E168,7,1),"S","Sedang","K","Kecil","B","Besar","")</f>
        <v/>
      </c>
    </row>
    <row r="169" spans="1:7" x14ac:dyDescent="0.3">
      <c r="A169" s="1" t="s">
        <v>168</v>
      </c>
      <c r="B169" s="1" t="s">
        <v>752</v>
      </c>
      <c r="C169" s="2">
        <v>8.56</v>
      </c>
      <c r="D169" s="1" t="s">
        <v>729</v>
      </c>
      <c r="E169" s="1" t="s">
        <v>710</v>
      </c>
      <c r="F169" t="str" cm="1">
        <f t="array" ref="F169">_xlfn.SWITCH(MID(E169,6,1),"S","Sucker","C","Crown","N","Nursery","")</f>
        <v/>
      </c>
      <c r="G169" t="str" cm="1">
        <f t="array" ref="G169">_xlfn.SWITCH(MID(E169,7,1),"S","Sedang","K","Kecil","B","Besar","")</f>
        <v/>
      </c>
    </row>
    <row r="170" spans="1:7" x14ac:dyDescent="0.3">
      <c r="A170" s="1" t="s">
        <v>169</v>
      </c>
      <c r="B170" s="1" t="s">
        <v>752</v>
      </c>
      <c r="C170" s="2">
        <v>6.8</v>
      </c>
      <c r="D170" s="1" t="s">
        <v>741</v>
      </c>
      <c r="E170" s="1" t="s">
        <v>710</v>
      </c>
      <c r="F170" t="str" cm="1">
        <f t="array" ref="F170">_xlfn.SWITCH(MID(E170,6,1),"S","Sucker","C","Crown","N","Nursery","")</f>
        <v/>
      </c>
      <c r="G170" t="str" cm="1">
        <f t="array" ref="G170">_xlfn.SWITCH(MID(E170,7,1),"S","Sedang","K","Kecil","B","Besar","")</f>
        <v/>
      </c>
    </row>
    <row r="171" spans="1:7" x14ac:dyDescent="0.3">
      <c r="A171" s="1" t="s">
        <v>170</v>
      </c>
      <c r="B171" s="1" t="s">
        <v>752</v>
      </c>
      <c r="C171" s="2">
        <v>9.77</v>
      </c>
      <c r="D171" s="1" t="s">
        <v>732</v>
      </c>
      <c r="E171" s="1" t="s">
        <v>710</v>
      </c>
      <c r="F171" t="str" cm="1">
        <f t="array" ref="F171">_xlfn.SWITCH(MID(E171,6,1),"S","Sucker","C","Crown","N","Nursery","")</f>
        <v/>
      </c>
      <c r="G171" t="str" cm="1">
        <f t="array" ref="G171">_xlfn.SWITCH(MID(E171,7,1),"S","Sedang","K","Kecil","B","Besar","")</f>
        <v/>
      </c>
    </row>
    <row r="172" spans="1:7" x14ac:dyDescent="0.3">
      <c r="A172" s="1" t="s">
        <v>171</v>
      </c>
      <c r="B172" s="1" t="s">
        <v>752</v>
      </c>
      <c r="C172" s="2">
        <v>3.64</v>
      </c>
      <c r="D172" s="1" t="s">
        <v>722</v>
      </c>
      <c r="E172" s="1" t="s">
        <v>710</v>
      </c>
      <c r="F172" t="str" cm="1">
        <f t="array" ref="F172">_xlfn.SWITCH(MID(E172,6,1),"S","Sucker","C","Crown","N","Nursery","")</f>
        <v/>
      </c>
      <c r="G172" t="str" cm="1">
        <f t="array" ref="G172">_xlfn.SWITCH(MID(E172,7,1),"S","Sedang","K","Kecil","B","Besar","")</f>
        <v/>
      </c>
    </row>
    <row r="173" spans="1:7" x14ac:dyDescent="0.3">
      <c r="A173" s="1" t="s">
        <v>172</v>
      </c>
      <c r="B173" s="1" t="s">
        <v>752</v>
      </c>
      <c r="C173" s="2">
        <v>10.1</v>
      </c>
      <c r="D173" s="1" t="s">
        <v>757</v>
      </c>
      <c r="E173" s="1" t="s">
        <v>710</v>
      </c>
      <c r="F173" t="str" cm="1">
        <f t="array" ref="F173">_xlfn.SWITCH(MID(E173,6,1),"S","Sucker","C","Crown","N","Nursery","")</f>
        <v/>
      </c>
      <c r="G173" t="str" cm="1">
        <f t="array" ref="G173">_xlfn.SWITCH(MID(E173,7,1),"S","Sedang","K","Kecil","B","Besar","")</f>
        <v/>
      </c>
    </row>
    <row r="174" spans="1:7" x14ac:dyDescent="0.3">
      <c r="A174" s="1" t="s">
        <v>173</v>
      </c>
      <c r="B174" s="1" t="s">
        <v>752</v>
      </c>
      <c r="C174" s="2">
        <v>6.6</v>
      </c>
      <c r="D174" s="1" t="s">
        <v>738</v>
      </c>
      <c r="E174" s="1" t="s">
        <v>711</v>
      </c>
      <c r="F174" t="str" cm="1">
        <f t="array" ref="F174">_xlfn.SWITCH(MID(E174,6,1),"S","Sucker","C","Crown","N","Nursery","")</f>
        <v>Crown</v>
      </c>
      <c r="G174" t="str" cm="1">
        <f t="array" ref="G174">_xlfn.SWITCH(MID(E174,7,1),"S","Sedang","K","Kecil","B","Besar","")</f>
        <v>Kecil</v>
      </c>
    </row>
    <row r="175" spans="1:7" x14ac:dyDescent="0.3">
      <c r="A175" s="1" t="s">
        <v>174</v>
      </c>
      <c r="B175" s="1" t="s">
        <v>752</v>
      </c>
      <c r="C175" s="2">
        <v>6.01</v>
      </c>
      <c r="D175" s="1" t="s">
        <v>738</v>
      </c>
      <c r="E175" s="1" t="s">
        <v>727</v>
      </c>
      <c r="F175" t="str" cm="1">
        <f t="array" ref="F175">_xlfn.SWITCH(MID(E175,6,1),"S","Sucker","C","Crown","N","Nursery","")</f>
        <v>Sucker</v>
      </c>
      <c r="G175" t="str" cm="1">
        <f t="array" ref="G175">_xlfn.SWITCH(MID(E175,7,1),"S","Sedang","K","Kecil","B","Besar","")</f>
        <v>Besar</v>
      </c>
    </row>
    <row r="176" spans="1:7" x14ac:dyDescent="0.3">
      <c r="A176" s="1" t="s">
        <v>175</v>
      </c>
      <c r="B176" s="1" t="s">
        <v>752</v>
      </c>
      <c r="C176" s="2">
        <v>7.61</v>
      </c>
      <c r="D176" s="1" t="s">
        <v>738</v>
      </c>
      <c r="E176" s="1" t="s">
        <v>707</v>
      </c>
      <c r="F176" t="str" cm="1">
        <f t="array" ref="F176">_xlfn.SWITCH(MID(E176,6,1),"S","Sucker","C","Crown","N","Nursery","")</f>
        <v>Sucker</v>
      </c>
      <c r="G176" t="str" cm="1">
        <f t="array" ref="G176">_xlfn.SWITCH(MID(E176,7,1),"S","Sedang","K","Kecil","B","Besar","")</f>
        <v>Sedang</v>
      </c>
    </row>
    <row r="177" spans="1:7" x14ac:dyDescent="0.3">
      <c r="A177" s="1" t="s">
        <v>176</v>
      </c>
      <c r="B177" s="1" t="s">
        <v>752</v>
      </c>
      <c r="C177" s="2">
        <v>8.0399999999999991</v>
      </c>
      <c r="D177" s="1" t="s">
        <v>713</v>
      </c>
      <c r="E177" s="1" t="s">
        <v>710</v>
      </c>
      <c r="F177" t="str" cm="1">
        <f t="array" ref="F177">_xlfn.SWITCH(MID(E177,6,1),"S","Sucker","C","Crown","N","Nursery","")</f>
        <v/>
      </c>
      <c r="G177" t="str" cm="1">
        <f t="array" ref="G177">_xlfn.SWITCH(MID(E177,7,1),"S","Sedang","K","Kecil","B","Besar","")</f>
        <v/>
      </c>
    </row>
    <row r="178" spans="1:7" x14ac:dyDescent="0.3">
      <c r="A178" s="1" t="s">
        <v>177</v>
      </c>
      <c r="B178" s="1" t="s">
        <v>752</v>
      </c>
      <c r="C178" s="2">
        <v>4.4800000000000004</v>
      </c>
      <c r="D178" s="1" t="s">
        <v>716</v>
      </c>
      <c r="E178" s="1" t="s">
        <v>710</v>
      </c>
      <c r="F178" t="str" cm="1">
        <f t="array" ref="F178">_xlfn.SWITCH(MID(E178,6,1),"S","Sucker","C","Crown","N","Nursery","")</f>
        <v/>
      </c>
      <c r="G178" t="str" cm="1">
        <f t="array" ref="G178">_xlfn.SWITCH(MID(E178,7,1),"S","Sedang","K","Kecil","B","Besar","")</f>
        <v/>
      </c>
    </row>
    <row r="179" spans="1:7" x14ac:dyDescent="0.3">
      <c r="A179" s="1" t="s">
        <v>178</v>
      </c>
      <c r="B179" s="1" t="s">
        <v>752</v>
      </c>
      <c r="C179" s="2">
        <v>9.17</v>
      </c>
      <c r="D179" s="1" t="s">
        <v>738</v>
      </c>
      <c r="E179" s="1" t="s">
        <v>711</v>
      </c>
      <c r="F179" t="str" cm="1">
        <f t="array" ref="F179">_xlfn.SWITCH(MID(E179,6,1),"S","Sucker","C","Crown","N","Nursery","")</f>
        <v>Crown</v>
      </c>
      <c r="G179" t="str" cm="1">
        <f t="array" ref="G179">_xlfn.SWITCH(MID(E179,7,1),"S","Sedang","K","Kecil","B","Besar","")</f>
        <v>Kecil</v>
      </c>
    </row>
    <row r="180" spans="1:7" x14ac:dyDescent="0.3">
      <c r="A180" s="1" t="s">
        <v>179</v>
      </c>
      <c r="B180" s="1" t="s">
        <v>752</v>
      </c>
      <c r="C180" s="2">
        <v>4.12</v>
      </c>
      <c r="D180" s="1" t="s">
        <v>720</v>
      </c>
      <c r="E180" s="1" t="s">
        <v>711</v>
      </c>
      <c r="F180" t="str" cm="1">
        <f t="array" ref="F180">_xlfn.SWITCH(MID(E180,6,1),"S","Sucker","C","Crown","N","Nursery","")</f>
        <v>Crown</v>
      </c>
      <c r="G180" t="str" cm="1">
        <f t="array" ref="G180">_xlfn.SWITCH(MID(E180,7,1),"S","Sedang","K","Kecil","B","Besar","")</f>
        <v>Kecil</v>
      </c>
    </row>
    <row r="181" spans="1:7" x14ac:dyDescent="0.3">
      <c r="A181" s="1" t="s">
        <v>180</v>
      </c>
      <c r="B181" s="1" t="s">
        <v>752</v>
      </c>
      <c r="C181" s="2">
        <v>10.62</v>
      </c>
      <c r="D181" s="1" t="s">
        <v>755</v>
      </c>
      <c r="E181" s="1" t="s">
        <v>710</v>
      </c>
      <c r="F181" t="str" cm="1">
        <f t="array" ref="F181">_xlfn.SWITCH(MID(E181,6,1),"S","Sucker","C","Crown","N","Nursery","")</f>
        <v/>
      </c>
      <c r="G181" t="str" cm="1">
        <f t="array" ref="G181">_xlfn.SWITCH(MID(E181,7,1),"S","Sedang","K","Kecil","B","Besar","")</f>
        <v/>
      </c>
    </row>
    <row r="182" spans="1:7" x14ac:dyDescent="0.3">
      <c r="A182" s="1" t="s">
        <v>181</v>
      </c>
      <c r="B182" s="1" t="s">
        <v>752</v>
      </c>
      <c r="C182" s="2">
        <v>9.2100000000000009</v>
      </c>
      <c r="D182" s="1" t="s">
        <v>737</v>
      </c>
      <c r="E182" s="1" t="s">
        <v>711</v>
      </c>
      <c r="F182" t="str" cm="1">
        <f t="array" ref="F182">_xlfn.SWITCH(MID(E182,6,1),"S","Sucker","C","Crown","N","Nursery","")</f>
        <v>Crown</v>
      </c>
      <c r="G182" t="str" cm="1">
        <f t="array" ref="G182">_xlfn.SWITCH(MID(E182,7,1),"S","Sedang","K","Kecil","B","Besar","")</f>
        <v>Kecil</v>
      </c>
    </row>
    <row r="183" spans="1:7" x14ac:dyDescent="0.3">
      <c r="A183" s="1" t="s">
        <v>182</v>
      </c>
      <c r="B183" s="1" t="s">
        <v>752</v>
      </c>
      <c r="C183" s="2">
        <v>8.1300000000000008</v>
      </c>
      <c r="D183" s="1" t="s">
        <v>737</v>
      </c>
      <c r="E183" s="1" t="s">
        <v>711</v>
      </c>
      <c r="F183" t="str" cm="1">
        <f t="array" ref="F183">_xlfn.SWITCH(MID(E183,6,1),"S","Sucker","C","Crown","N","Nursery","")</f>
        <v>Crown</v>
      </c>
      <c r="G183" t="str" cm="1">
        <f t="array" ref="G183">_xlfn.SWITCH(MID(E183,7,1),"S","Sedang","K","Kecil","B","Besar","")</f>
        <v>Kecil</v>
      </c>
    </row>
    <row r="184" spans="1:7" x14ac:dyDescent="0.3">
      <c r="A184" s="1" t="s">
        <v>183</v>
      </c>
      <c r="B184" s="1" t="s">
        <v>752</v>
      </c>
      <c r="C184" s="2">
        <v>4.07</v>
      </c>
      <c r="D184" s="1" t="s">
        <v>756</v>
      </c>
      <c r="E184" s="1" t="s">
        <v>711</v>
      </c>
      <c r="F184" t="str" cm="1">
        <f t="array" ref="F184">_xlfn.SWITCH(MID(E184,6,1),"S","Sucker","C","Crown","N","Nursery","")</f>
        <v>Crown</v>
      </c>
      <c r="G184" t="str" cm="1">
        <f t="array" ref="G184">_xlfn.SWITCH(MID(E184,7,1),"S","Sedang","K","Kecil","B","Besar","")</f>
        <v>Kecil</v>
      </c>
    </row>
    <row r="185" spans="1:7" x14ac:dyDescent="0.3">
      <c r="A185" s="1" t="s">
        <v>184</v>
      </c>
      <c r="B185" s="1" t="s">
        <v>752</v>
      </c>
      <c r="C185" s="2">
        <v>9.32</v>
      </c>
      <c r="D185" s="1" t="s">
        <v>742</v>
      </c>
      <c r="E185" s="1" t="s">
        <v>710</v>
      </c>
      <c r="F185" t="str" cm="1">
        <f t="array" ref="F185">_xlfn.SWITCH(MID(E185,6,1),"S","Sucker","C","Crown","N","Nursery","")</f>
        <v/>
      </c>
      <c r="G185" t="str" cm="1">
        <f t="array" ref="G185">_xlfn.SWITCH(MID(E185,7,1),"S","Sedang","K","Kecil","B","Besar","")</f>
        <v/>
      </c>
    </row>
    <row r="186" spans="1:7" x14ac:dyDescent="0.3">
      <c r="A186" s="1" t="s">
        <v>185</v>
      </c>
      <c r="B186" s="1" t="s">
        <v>752</v>
      </c>
      <c r="C186" s="2">
        <v>8.16</v>
      </c>
      <c r="D186" s="1" t="s">
        <v>743</v>
      </c>
      <c r="E186" s="1" t="s">
        <v>711</v>
      </c>
      <c r="F186" t="str" cm="1">
        <f t="array" ref="F186">_xlfn.SWITCH(MID(E186,6,1),"S","Sucker","C","Crown","N","Nursery","")</f>
        <v>Crown</v>
      </c>
      <c r="G186" t="str" cm="1">
        <f t="array" ref="G186">_xlfn.SWITCH(MID(E186,7,1),"S","Sedang","K","Kecil","B","Besar","")</f>
        <v>Kecil</v>
      </c>
    </row>
    <row r="187" spans="1:7" x14ac:dyDescent="0.3">
      <c r="A187" s="1" t="s">
        <v>186</v>
      </c>
      <c r="B187" s="1" t="s">
        <v>752</v>
      </c>
      <c r="C187" s="2">
        <v>8.1999999999999993</v>
      </c>
      <c r="D187" s="1" t="s">
        <v>733</v>
      </c>
      <c r="E187" s="1" t="s">
        <v>710</v>
      </c>
      <c r="F187" t="str" cm="1">
        <f t="array" ref="F187">_xlfn.SWITCH(MID(E187,6,1),"S","Sucker","C","Crown","N","Nursery","")</f>
        <v/>
      </c>
      <c r="G187" t="str" cm="1">
        <f t="array" ref="G187">_xlfn.SWITCH(MID(E187,7,1),"S","Sedang","K","Kecil","B","Besar","")</f>
        <v/>
      </c>
    </row>
    <row r="188" spans="1:7" x14ac:dyDescent="0.3">
      <c r="A188" s="1" t="s">
        <v>187</v>
      </c>
      <c r="B188" s="1" t="s">
        <v>752</v>
      </c>
      <c r="C188" s="2">
        <v>10.46</v>
      </c>
      <c r="D188" s="1" t="s">
        <v>733</v>
      </c>
      <c r="E188" s="1" t="s">
        <v>710</v>
      </c>
      <c r="F188" t="str" cm="1">
        <f t="array" ref="F188">_xlfn.SWITCH(MID(E188,6,1),"S","Sucker","C","Crown","N","Nursery","")</f>
        <v/>
      </c>
      <c r="G188" t="str" cm="1">
        <f t="array" ref="G188">_xlfn.SWITCH(MID(E188,7,1),"S","Sedang","K","Kecil","B","Besar","")</f>
        <v/>
      </c>
    </row>
    <row r="189" spans="1:7" x14ac:dyDescent="0.3">
      <c r="A189" s="1" t="s">
        <v>188</v>
      </c>
      <c r="B189" s="1" t="s">
        <v>752</v>
      </c>
      <c r="C189" s="2">
        <v>5.07</v>
      </c>
      <c r="D189" s="1" t="s">
        <v>720</v>
      </c>
      <c r="E189" s="1" t="s">
        <v>711</v>
      </c>
      <c r="F189" t="str" cm="1">
        <f t="array" ref="F189">_xlfn.SWITCH(MID(E189,6,1),"S","Sucker","C","Crown","N","Nursery","")</f>
        <v>Crown</v>
      </c>
      <c r="G189" t="str" cm="1">
        <f t="array" ref="G189">_xlfn.SWITCH(MID(E189,7,1),"S","Sedang","K","Kecil","B","Besar","")</f>
        <v>Kecil</v>
      </c>
    </row>
    <row r="190" spans="1:7" x14ac:dyDescent="0.3">
      <c r="A190" s="1" t="s">
        <v>189</v>
      </c>
      <c r="B190" s="1" t="s">
        <v>752</v>
      </c>
      <c r="C190" s="2">
        <v>8.4600000000000009</v>
      </c>
      <c r="D190" s="1" t="s">
        <v>720</v>
      </c>
      <c r="E190" s="1" t="s">
        <v>711</v>
      </c>
      <c r="F190" t="str" cm="1">
        <f t="array" ref="F190">_xlfn.SWITCH(MID(E190,6,1),"S","Sucker","C","Crown","N","Nursery","")</f>
        <v>Crown</v>
      </c>
      <c r="G190" t="str" cm="1">
        <f t="array" ref="G190">_xlfn.SWITCH(MID(E190,7,1),"S","Sedang","K","Kecil","B","Besar","")</f>
        <v>Kecil</v>
      </c>
    </row>
    <row r="191" spans="1:7" x14ac:dyDescent="0.3">
      <c r="A191" s="1" t="s">
        <v>190</v>
      </c>
      <c r="B191" s="1" t="s">
        <v>752</v>
      </c>
      <c r="C191" s="2">
        <v>4.53</v>
      </c>
      <c r="D191" s="1" t="s">
        <v>715</v>
      </c>
      <c r="E191" s="1" t="s">
        <v>710</v>
      </c>
      <c r="F191" t="str" cm="1">
        <f t="array" ref="F191">_xlfn.SWITCH(MID(E191,6,1),"S","Sucker","C","Crown","N","Nursery","")</f>
        <v/>
      </c>
      <c r="G191" t="str" cm="1">
        <f t="array" ref="G191">_xlfn.SWITCH(MID(E191,7,1),"S","Sedang","K","Kecil","B","Besar","")</f>
        <v/>
      </c>
    </row>
    <row r="192" spans="1:7" x14ac:dyDescent="0.3">
      <c r="A192" s="1" t="s">
        <v>191</v>
      </c>
      <c r="B192" s="1" t="s">
        <v>752</v>
      </c>
      <c r="C192" s="2">
        <v>6.53</v>
      </c>
      <c r="D192" s="1" t="s">
        <v>725</v>
      </c>
      <c r="E192" s="1" t="s">
        <v>710</v>
      </c>
      <c r="F192" t="str" cm="1">
        <f t="array" ref="F192">_xlfn.SWITCH(MID(E192,6,1),"S","Sucker","C","Crown","N","Nursery","")</f>
        <v/>
      </c>
      <c r="G192" t="str" cm="1">
        <f t="array" ref="G192">_xlfn.SWITCH(MID(E192,7,1),"S","Sedang","K","Kecil","B","Besar","")</f>
        <v/>
      </c>
    </row>
    <row r="193" spans="1:7" x14ac:dyDescent="0.3">
      <c r="A193" s="1" t="s">
        <v>192</v>
      </c>
      <c r="B193" s="1" t="s">
        <v>752</v>
      </c>
      <c r="C193" s="2">
        <v>7.11</v>
      </c>
      <c r="D193" s="1" t="s">
        <v>756</v>
      </c>
      <c r="E193" s="1" t="s">
        <v>711</v>
      </c>
      <c r="F193" t="str" cm="1">
        <f t="array" ref="F193">_xlfn.SWITCH(MID(E193,6,1),"S","Sucker","C","Crown","N","Nursery","")</f>
        <v>Crown</v>
      </c>
      <c r="G193" t="str" cm="1">
        <f t="array" ref="G193">_xlfn.SWITCH(MID(E193,7,1),"S","Sedang","K","Kecil","B","Besar","")</f>
        <v>Kecil</v>
      </c>
    </row>
    <row r="194" spans="1:7" x14ac:dyDescent="0.3">
      <c r="A194" s="1" t="s">
        <v>193</v>
      </c>
      <c r="B194" s="1" t="s">
        <v>752</v>
      </c>
      <c r="C194" s="2">
        <v>7.49</v>
      </c>
      <c r="D194" s="1" t="s">
        <v>724</v>
      </c>
      <c r="E194" s="1" t="s">
        <v>711</v>
      </c>
      <c r="F194" t="str" cm="1">
        <f t="array" ref="F194">_xlfn.SWITCH(MID(E194,6,1),"S","Sucker","C","Crown","N","Nursery","")</f>
        <v>Crown</v>
      </c>
      <c r="G194" t="str" cm="1">
        <f t="array" ref="G194">_xlfn.SWITCH(MID(E194,7,1),"S","Sedang","K","Kecil","B","Besar","")</f>
        <v>Kecil</v>
      </c>
    </row>
    <row r="195" spans="1:7" x14ac:dyDescent="0.3">
      <c r="A195" s="1" t="s">
        <v>194</v>
      </c>
      <c r="B195" s="1" t="s">
        <v>752</v>
      </c>
      <c r="C195" s="2">
        <v>6.07</v>
      </c>
      <c r="D195" s="1" t="s">
        <v>756</v>
      </c>
      <c r="E195" s="1" t="s">
        <v>711</v>
      </c>
      <c r="F195" t="str" cm="1">
        <f t="array" ref="F195">_xlfn.SWITCH(MID(E195,6,1),"S","Sucker","C","Crown","N","Nursery","")</f>
        <v>Crown</v>
      </c>
      <c r="G195" t="str" cm="1">
        <f t="array" ref="G195">_xlfn.SWITCH(MID(E195,7,1),"S","Sedang","K","Kecil","B","Besar","")</f>
        <v>Kecil</v>
      </c>
    </row>
    <row r="196" spans="1:7" x14ac:dyDescent="0.3">
      <c r="A196" s="1" t="s">
        <v>195</v>
      </c>
      <c r="B196" s="1" t="s">
        <v>752</v>
      </c>
      <c r="C196" s="2">
        <v>7.38</v>
      </c>
      <c r="D196" s="1" t="s">
        <v>715</v>
      </c>
      <c r="E196" s="1" t="s">
        <v>710</v>
      </c>
      <c r="F196" t="str" cm="1">
        <f t="array" ref="F196">_xlfn.SWITCH(MID(E196,6,1),"S","Sucker","C","Crown","N","Nursery","")</f>
        <v/>
      </c>
      <c r="G196" t="str" cm="1">
        <f t="array" ref="G196">_xlfn.SWITCH(MID(E196,7,1),"S","Sedang","K","Kecil","B","Besar","")</f>
        <v/>
      </c>
    </row>
    <row r="197" spans="1:7" x14ac:dyDescent="0.3">
      <c r="A197" s="1" t="s">
        <v>196</v>
      </c>
      <c r="B197" s="1" t="s">
        <v>752</v>
      </c>
      <c r="C197" s="2">
        <v>5.42</v>
      </c>
      <c r="D197" s="1" t="s">
        <v>757</v>
      </c>
      <c r="E197" s="1" t="s">
        <v>710</v>
      </c>
      <c r="F197" t="str" cm="1">
        <f t="array" ref="F197">_xlfn.SWITCH(MID(E197,6,1),"S","Sucker","C","Crown","N","Nursery","")</f>
        <v/>
      </c>
      <c r="G197" t="str" cm="1">
        <f t="array" ref="G197">_xlfn.SWITCH(MID(E197,7,1),"S","Sedang","K","Kecil","B","Besar","")</f>
        <v/>
      </c>
    </row>
    <row r="198" spans="1:7" x14ac:dyDescent="0.3">
      <c r="A198" s="1" t="s">
        <v>197</v>
      </c>
      <c r="B198" s="1" t="s">
        <v>752</v>
      </c>
      <c r="C198" s="3">
        <v>4</v>
      </c>
      <c r="D198" s="1" t="s">
        <v>746</v>
      </c>
      <c r="E198" s="1" t="s">
        <v>710</v>
      </c>
      <c r="F198" t="str" cm="1">
        <f t="array" ref="F198">_xlfn.SWITCH(MID(E198,6,1),"S","Sucker","C","Crown","N","Nursery","")</f>
        <v/>
      </c>
      <c r="G198" t="str" cm="1">
        <f t="array" ref="G198">_xlfn.SWITCH(MID(E198,7,1),"S","Sedang","K","Kecil","B","Besar","")</f>
        <v/>
      </c>
    </row>
    <row r="199" spans="1:7" x14ac:dyDescent="0.3">
      <c r="A199" s="1" t="s">
        <v>198</v>
      </c>
      <c r="B199" s="1" t="s">
        <v>747</v>
      </c>
      <c r="C199" s="2">
        <v>7.04</v>
      </c>
      <c r="D199" s="1" t="s">
        <v>718</v>
      </c>
      <c r="E199" s="1" t="s">
        <v>710</v>
      </c>
      <c r="F199" t="str" cm="1">
        <f t="array" ref="F199">_xlfn.SWITCH(MID(E199,6,1),"S","Sucker","C","Crown","N","Nursery","")</f>
        <v/>
      </c>
      <c r="G199" t="str" cm="1">
        <f t="array" ref="G199">_xlfn.SWITCH(MID(E199,7,1),"S","Sedang","K","Kecil","B","Besar","")</f>
        <v/>
      </c>
    </row>
    <row r="200" spans="1:7" x14ac:dyDescent="0.3">
      <c r="A200" s="1" t="s">
        <v>199</v>
      </c>
      <c r="B200" s="1" t="s">
        <v>747</v>
      </c>
      <c r="C200" s="2">
        <v>6.29</v>
      </c>
      <c r="D200" s="1" t="s">
        <v>718</v>
      </c>
      <c r="E200" s="1" t="s">
        <v>710</v>
      </c>
      <c r="F200" t="str" cm="1">
        <f t="array" ref="F200">_xlfn.SWITCH(MID(E200,6,1),"S","Sucker","C","Crown","N","Nursery","")</f>
        <v/>
      </c>
      <c r="G200" t="str" cm="1">
        <f t="array" ref="G200">_xlfn.SWITCH(MID(E200,7,1),"S","Sedang","K","Kecil","B","Besar","")</f>
        <v/>
      </c>
    </row>
    <row r="201" spans="1:7" x14ac:dyDescent="0.3">
      <c r="A201" s="1" t="s">
        <v>200</v>
      </c>
      <c r="B201" s="1" t="s">
        <v>747</v>
      </c>
      <c r="C201" s="2">
        <v>6.26</v>
      </c>
      <c r="D201" s="1" t="s">
        <v>716</v>
      </c>
      <c r="E201" s="1" t="s">
        <v>710</v>
      </c>
      <c r="F201" t="str" cm="1">
        <f t="array" ref="F201">_xlfn.SWITCH(MID(E201,6,1),"S","Sucker","C","Crown","N","Nursery","")</f>
        <v/>
      </c>
      <c r="G201" t="str" cm="1">
        <f t="array" ref="G201">_xlfn.SWITCH(MID(E201,7,1),"S","Sedang","K","Kecil","B","Besar","")</f>
        <v/>
      </c>
    </row>
    <row r="202" spans="1:7" x14ac:dyDescent="0.3">
      <c r="A202" s="1" t="s">
        <v>201</v>
      </c>
      <c r="B202" s="1" t="s">
        <v>747</v>
      </c>
      <c r="C202" s="2">
        <v>10.8</v>
      </c>
      <c r="D202" s="1" t="s">
        <v>715</v>
      </c>
      <c r="E202" s="1" t="s">
        <v>710</v>
      </c>
      <c r="F202" t="str" cm="1">
        <f t="array" ref="F202">_xlfn.SWITCH(MID(E202,6,1),"S","Sucker","C","Crown","N","Nursery","")</f>
        <v/>
      </c>
      <c r="G202" t="str" cm="1">
        <f t="array" ref="G202">_xlfn.SWITCH(MID(E202,7,1),"S","Sedang","K","Kecil","B","Besar","")</f>
        <v/>
      </c>
    </row>
    <row r="203" spans="1:7" x14ac:dyDescent="0.3">
      <c r="A203" s="1" t="s">
        <v>202</v>
      </c>
      <c r="B203" s="1" t="s">
        <v>747</v>
      </c>
      <c r="C203" s="2">
        <v>3.85</v>
      </c>
      <c r="D203" s="1" t="s">
        <v>708</v>
      </c>
      <c r="E203" s="1" t="s">
        <v>711</v>
      </c>
      <c r="F203" t="str" cm="1">
        <f t="array" ref="F203">_xlfn.SWITCH(MID(E203,6,1),"S","Sucker","C","Crown","N","Nursery","")</f>
        <v>Crown</v>
      </c>
      <c r="G203" t="str" cm="1">
        <f t="array" ref="G203">_xlfn.SWITCH(MID(E203,7,1),"S","Sedang","K","Kecil","B","Besar","")</f>
        <v>Kecil</v>
      </c>
    </row>
    <row r="204" spans="1:7" x14ac:dyDescent="0.3">
      <c r="A204" s="1" t="s">
        <v>203</v>
      </c>
      <c r="B204" s="1" t="s">
        <v>747</v>
      </c>
      <c r="C204" s="2">
        <v>4.59</v>
      </c>
      <c r="D204" s="1" t="s">
        <v>708</v>
      </c>
      <c r="E204" s="1" t="s">
        <v>711</v>
      </c>
      <c r="F204" t="str" cm="1">
        <f t="array" ref="F204">_xlfn.SWITCH(MID(E204,6,1),"S","Sucker","C","Crown","N","Nursery","")</f>
        <v>Crown</v>
      </c>
      <c r="G204" t="str" cm="1">
        <f t="array" ref="G204">_xlfn.SWITCH(MID(E204,7,1),"S","Sedang","K","Kecil","B","Besar","")</f>
        <v>Kecil</v>
      </c>
    </row>
    <row r="205" spans="1:7" x14ac:dyDescent="0.3">
      <c r="A205" s="1" t="s">
        <v>204</v>
      </c>
      <c r="B205" s="1" t="s">
        <v>747</v>
      </c>
      <c r="C205" s="2">
        <v>10.15</v>
      </c>
      <c r="D205" s="1" t="s">
        <v>714</v>
      </c>
      <c r="E205" s="1" t="s">
        <v>707</v>
      </c>
      <c r="F205" t="str" cm="1">
        <f t="array" ref="F205">_xlfn.SWITCH(MID(E205,6,1),"S","Sucker","C","Crown","N","Nursery","")</f>
        <v>Sucker</v>
      </c>
      <c r="G205" t="str" cm="1">
        <f t="array" ref="G205">_xlfn.SWITCH(MID(E205,7,1),"S","Sedang","K","Kecil","B","Besar","")</f>
        <v>Sedang</v>
      </c>
    </row>
    <row r="206" spans="1:7" x14ac:dyDescent="0.3">
      <c r="A206" s="1" t="s">
        <v>205</v>
      </c>
      <c r="B206" s="1" t="s">
        <v>747</v>
      </c>
      <c r="C206" s="2">
        <v>6.82</v>
      </c>
      <c r="D206" s="1" t="s">
        <v>717</v>
      </c>
      <c r="E206" s="1" t="s">
        <v>734</v>
      </c>
      <c r="F206" t="str" cm="1">
        <f t="array" ref="F206">_xlfn.SWITCH(MID(E206,6,1),"S","Sucker","C","Crown","N","Nursery","")</f>
        <v>Sucker</v>
      </c>
      <c r="G206" t="str" cm="1">
        <f t="array" ref="G206">_xlfn.SWITCH(MID(E206,7,1),"S","Sedang","K","Kecil","B","Besar","")</f>
        <v>Kecil</v>
      </c>
    </row>
    <row r="207" spans="1:7" x14ac:dyDescent="0.3">
      <c r="A207" s="1" t="s">
        <v>206</v>
      </c>
      <c r="B207" s="1" t="s">
        <v>747</v>
      </c>
      <c r="C207" s="2">
        <v>10.87</v>
      </c>
      <c r="D207" s="1" t="s">
        <v>717</v>
      </c>
      <c r="E207" s="1" t="s">
        <v>711</v>
      </c>
      <c r="F207" t="str" cm="1">
        <f t="array" ref="F207">_xlfn.SWITCH(MID(E207,6,1),"S","Sucker","C","Crown","N","Nursery","")</f>
        <v>Crown</v>
      </c>
      <c r="G207" t="str" cm="1">
        <f t="array" ref="G207">_xlfn.SWITCH(MID(E207,7,1),"S","Sedang","K","Kecil","B","Besar","")</f>
        <v>Kecil</v>
      </c>
    </row>
    <row r="208" spans="1:7" x14ac:dyDescent="0.3">
      <c r="A208" s="1" t="s">
        <v>207</v>
      </c>
      <c r="B208" s="1" t="s">
        <v>747</v>
      </c>
      <c r="C208" s="2">
        <v>4.97</v>
      </c>
      <c r="D208" s="1" t="s">
        <v>753</v>
      </c>
      <c r="E208" s="1" t="s">
        <v>710</v>
      </c>
      <c r="F208" t="str" cm="1">
        <f t="array" ref="F208">_xlfn.SWITCH(MID(E208,6,1),"S","Sucker","C","Crown","N","Nursery","")</f>
        <v/>
      </c>
      <c r="G208" t="str" cm="1">
        <f t="array" ref="G208">_xlfn.SWITCH(MID(E208,7,1),"S","Sedang","K","Kecil","B","Besar","")</f>
        <v/>
      </c>
    </row>
    <row r="209" spans="1:7" x14ac:dyDescent="0.3">
      <c r="A209" s="1" t="s">
        <v>208</v>
      </c>
      <c r="B209" s="1" t="s">
        <v>747</v>
      </c>
      <c r="C209" s="2">
        <v>6.83</v>
      </c>
      <c r="D209" s="1" t="s">
        <v>733</v>
      </c>
      <c r="E209" s="1" t="s">
        <v>710</v>
      </c>
      <c r="F209" t="str" cm="1">
        <f t="array" ref="F209">_xlfn.SWITCH(MID(E209,6,1),"S","Sucker","C","Crown","N","Nursery","")</f>
        <v/>
      </c>
      <c r="G209" t="str" cm="1">
        <f t="array" ref="G209">_xlfn.SWITCH(MID(E209,7,1),"S","Sedang","K","Kecil","B","Besar","")</f>
        <v/>
      </c>
    </row>
    <row r="210" spans="1:7" x14ac:dyDescent="0.3">
      <c r="A210" s="1" t="s">
        <v>209</v>
      </c>
      <c r="B210" s="1" t="s">
        <v>747</v>
      </c>
      <c r="C210" s="2">
        <v>12.7</v>
      </c>
      <c r="D210" s="1" t="s">
        <v>738</v>
      </c>
      <c r="E210" s="1" t="s">
        <v>711</v>
      </c>
      <c r="F210" t="str" cm="1">
        <f t="array" ref="F210">_xlfn.SWITCH(MID(E210,6,1),"S","Sucker","C","Crown","N","Nursery","")</f>
        <v>Crown</v>
      </c>
      <c r="G210" t="str" cm="1">
        <f t="array" ref="G210">_xlfn.SWITCH(MID(E210,7,1),"S","Sedang","K","Kecil","B","Besar","")</f>
        <v>Kecil</v>
      </c>
    </row>
    <row r="211" spans="1:7" x14ac:dyDescent="0.3">
      <c r="A211" s="1" t="s">
        <v>210</v>
      </c>
      <c r="B211" s="1" t="s">
        <v>747</v>
      </c>
      <c r="C211" s="2">
        <v>9.56</v>
      </c>
      <c r="D211" s="1" t="s">
        <v>764</v>
      </c>
      <c r="E211" s="1" t="s">
        <v>710</v>
      </c>
      <c r="F211" t="str" cm="1">
        <f t="array" ref="F211">_xlfn.SWITCH(MID(E211,6,1),"S","Sucker","C","Crown","N","Nursery","")</f>
        <v/>
      </c>
      <c r="G211" t="str" cm="1">
        <f t="array" ref="G211">_xlfn.SWITCH(MID(E211,7,1),"S","Sedang","K","Kecil","B","Besar","")</f>
        <v/>
      </c>
    </row>
    <row r="212" spans="1:7" x14ac:dyDescent="0.3">
      <c r="A212" s="1" t="s">
        <v>211</v>
      </c>
      <c r="B212" s="1" t="s">
        <v>747</v>
      </c>
      <c r="C212" s="2">
        <v>10.27</v>
      </c>
      <c r="D212" s="1" t="s">
        <v>760</v>
      </c>
      <c r="E212" s="1" t="s">
        <v>710</v>
      </c>
      <c r="F212" t="str" cm="1">
        <f t="array" ref="F212">_xlfn.SWITCH(MID(E212,6,1),"S","Sucker","C","Crown","N","Nursery","")</f>
        <v/>
      </c>
      <c r="G212" t="str" cm="1">
        <f t="array" ref="G212">_xlfn.SWITCH(MID(E212,7,1),"S","Sedang","K","Kecil","B","Besar","")</f>
        <v/>
      </c>
    </row>
    <row r="213" spans="1:7" x14ac:dyDescent="0.3">
      <c r="A213" s="1" t="s">
        <v>212</v>
      </c>
      <c r="B213" s="1" t="s">
        <v>747</v>
      </c>
      <c r="C213" s="2">
        <v>3.44</v>
      </c>
      <c r="D213" s="1" t="s">
        <v>750</v>
      </c>
      <c r="E213" s="1" t="s">
        <v>710</v>
      </c>
      <c r="F213" t="str" cm="1">
        <f t="array" ref="F213">_xlfn.SWITCH(MID(E213,6,1),"S","Sucker","C","Crown","N","Nursery","")</f>
        <v/>
      </c>
      <c r="G213" t="str" cm="1">
        <f t="array" ref="G213">_xlfn.SWITCH(MID(E213,7,1),"S","Sedang","K","Kecil","B","Besar","")</f>
        <v/>
      </c>
    </row>
    <row r="214" spans="1:7" x14ac:dyDescent="0.3">
      <c r="A214" s="1" t="s">
        <v>213</v>
      </c>
      <c r="B214" s="1" t="s">
        <v>747</v>
      </c>
      <c r="C214" s="2">
        <v>8.6999999999999993</v>
      </c>
      <c r="D214" s="1" t="s">
        <v>756</v>
      </c>
      <c r="E214" s="1" t="s">
        <v>711</v>
      </c>
      <c r="F214" t="str" cm="1">
        <f t="array" ref="F214">_xlfn.SWITCH(MID(E214,6,1),"S","Sucker","C","Crown","N","Nursery","")</f>
        <v>Crown</v>
      </c>
      <c r="G214" t="str" cm="1">
        <f t="array" ref="G214">_xlfn.SWITCH(MID(E214,7,1),"S","Sedang","K","Kecil","B","Besar","")</f>
        <v>Kecil</v>
      </c>
    </row>
    <row r="215" spans="1:7" x14ac:dyDescent="0.3">
      <c r="A215" s="1" t="s">
        <v>214</v>
      </c>
      <c r="B215" s="1" t="s">
        <v>747</v>
      </c>
      <c r="C215" s="2">
        <v>13.68</v>
      </c>
      <c r="D215" s="1" t="s">
        <v>732</v>
      </c>
      <c r="E215" s="1" t="s">
        <v>710</v>
      </c>
      <c r="F215" t="str" cm="1">
        <f t="array" ref="F215">_xlfn.SWITCH(MID(E215,6,1),"S","Sucker","C","Crown","N","Nursery","")</f>
        <v/>
      </c>
      <c r="G215" t="str" cm="1">
        <f t="array" ref="G215">_xlfn.SWITCH(MID(E215,7,1),"S","Sedang","K","Kecil","B","Besar","")</f>
        <v/>
      </c>
    </row>
    <row r="216" spans="1:7" x14ac:dyDescent="0.3">
      <c r="A216" s="1" t="s">
        <v>215</v>
      </c>
      <c r="B216" s="1" t="s">
        <v>747</v>
      </c>
      <c r="C216" s="2">
        <v>10.23</v>
      </c>
      <c r="D216" s="1" t="s">
        <v>760</v>
      </c>
      <c r="E216" s="1" t="s">
        <v>710</v>
      </c>
      <c r="F216" t="str" cm="1">
        <f t="array" ref="F216">_xlfn.SWITCH(MID(E216,6,1),"S","Sucker","C","Crown","N","Nursery","")</f>
        <v/>
      </c>
      <c r="G216" t="str" cm="1">
        <f t="array" ref="G216">_xlfn.SWITCH(MID(E216,7,1),"S","Sedang","K","Kecil","B","Besar","")</f>
        <v/>
      </c>
    </row>
    <row r="217" spans="1:7" x14ac:dyDescent="0.3">
      <c r="A217" s="1" t="s">
        <v>216</v>
      </c>
      <c r="B217" s="1" t="s">
        <v>747</v>
      </c>
      <c r="C217" s="2">
        <v>9.3000000000000007</v>
      </c>
      <c r="D217" s="1" t="s">
        <v>760</v>
      </c>
      <c r="E217" s="1" t="s">
        <v>710</v>
      </c>
      <c r="F217" t="str" cm="1">
        <f t="array" ref="F217">_xlfn.SWITCH(MID(E217,6,1),"S","Sucker","C","Crown","N","Nursery","")</f>
        <v/>
      </c>
      <c r="G217" t="str" cm="1">
        <f t="array" ref="G217">_xlfn.SWITCH(MID(E217,7,1),"S","Sedang","K","Kecil","B","Besar","")</f>
        <v/>
      </c>
    </row>
    <row r="218" spans="1:7" x14ac:dyDescent="0.3">
      <c r="A218" s="1" t="s">
        <v>217</v>
      </c>
      <c r="B218" s="1" t="s">
        <v>747</v>
      </c>
      <c r="C218" s="2">
        <v>8.11</v>
      </c>
      <c r="D218" s="1" t="s">
        <v>754</v>
      </c>
      <c r="E218" s="1" t="s">
        <v>707</v>
      </c>
      <c r="F218" t="str" cm="1">
        <f t="array" ref="F218">_xlfn.SWITCH(MID(E218,6,1),"S","Sucker","C","Crown","N","Nursery","")</f>
        <v>Sucker</v>
      </c>
      <c r="G218" t="str" cm="1">
        <f t="array" ref="G218">_xlfn.SWITCH(MID(E218,7,1),"S","Sedang","K","Kecil","B","Besar","")</f>
        <v>Sedang</v>
      </c>
    </row>
    <row r="219" spans="1:7" x14ac:dyDescent="0.3">
      <c r="A219" s="1" t="s">
        <v>218</v>
      </c>
      <c r="B219" s="1" t="s">
        <v>765</v>
      </c>
      <c r="C219" s="2">
        <v>3.44</v>
      </c>
      <c r="D219" s="1" t="s">
        <v>766</v>
      </c>
      <c r="E219" s="1" t="s">
        <v>710</v>
      </c>
      <c r="F219" t="str" cm="1">
        <f t="array" ref="F219">_xlfn.SWITCH(MID(E219,6,1),"S","Sucker","C","Crown","N","Nursery","")</f>
        <v/>
      </c>
      <c r="G219" t="str" cm="1">
        <f t="array" ref="G219">_xlfn.SWITCH(MID(E219,7,1),"S","Sedang","K","Kecil","B","Besar","")</f>
        <v/>
      </c>
    </row>
    <row r="220" spans="1:7" x14ac:dyDescent="0.3">
      <c r="A220" s="1" t="s">
        <v>219</v>
      </c>
      <c r="B220" s="1" t="s">
        <v>765</v>
      </c>
      <c r="C220" s="2">
        <v>4.93</v>
      </c>
      <c r="D220" s="1" t="s">
        <v>767</v>
      </c>
      <c r="E220" s="1" t="s">
        <v>710</v>
      </c>
      <c r="F220" t="str" cm="1">
        <f t="array" ref="F220">_xlfn.SWITCH(MID(E220,6,1),"S","Sucker","C","Crown","N","Nursery","")</f>
        <v/>
      </c>
      <c r="G220" t="str" cm="1">
        <f t="array" ref="G220">_xlfn.SWITCH(MID(E220,7,1),"S","Sedang","K","Kecil","B","Besar","")</f>
        <v/>
      </c>
    </row>
    <row r="221" spans="1:7" x14ac:dyDescent="0.3">
      <c r="A221" s="1" t="s">
        <v>220</v>
      </c>
      <c r="B221" s="1" t="s">
        <v>765</v>
      </c>
      <c r="C221" s="2">
        <v>6.3</v>
      </c>
      <c r="D221" s="1" t="s">
        <v>768</v>
      </c>
      <c r="E221" s="1" t="s">
        <v>710</v>
      </c>
      <c r="F221" t="str" cm="1">
        <f t="array" ref="F221">_xlfn.SWITCH(MID(E221,6,1),"S","Sucker","C","Crown","N","Nursery","")</f>
        <v/>
      </c>
      <c r="G221" t="str" cm="1">
        <f t="array" ref="G221">_xlfn.SWITCH(MID(E221,7,1),"S","Sedang","K","Kecil","B","Besar","")</f>
        <v/>
      </c>
    </row>
    <row r="222" spans="1:7" x14ac:dyDescent="0.3">
      <c r="A222" s="1" t="s">
        <v>221</v>
      </c>
      <c r="B222" s="1" t="s">
        <v>765</v>
      </c>
      <c r="C222" s="2">
        <v>6.48</v>
      </c>
      <c r="D222" s="1" t="s">
        <v>769</v>
      </c>
      <c r="E222" s="1" t="s">
        <v>710</v>
      </c>
      <c r="F222" t="str" cm="1">
        <f t="array" ref="F222">_xlfn.SWITCH(MID(E222,6,1),"S","Sucker","C","Crown","N","Nursery","")</f>
        <v/>
      </c>
      <c r="G222" t="str" cm="1">
        <f t="array" ref="G222">_xlfn.SWITCH(MID(E222,7,1),"S","Sedang","K","Kecil","B","Besar","")</f>
        <v/>
      </c>
    </row>
    <row r="223" spans="1:7" x14ac:dyDescent="0.3">
      <c r="A223" s="1" t="s">
        <v>222</v>
      </c>
      <c r="B223" s="1" t="s">
        <v>765</v>
      </c>
      <c r="C223" s="2">
        <v>6.33</v>
      </c>
      <c r="D223" s="1" t="s">
        <v>770</v>
      </c>
      <c r="E223" s="1" t="s">
        <v>710</v>
      </c>
      <c r="F223" t="str" cm="1">
        <f t="array" ref="F223">_xlfn.SWITCH(MID(E223,6,1),"S","Sucker","C","Crown","N","Nursery","")</f>
        <v/>
      </c>
      <c r="G223" t="str" cm="1">
        <f t="array" ref="G223">_xlfn.SWITCH(MID(E223,7,1),"S","Sedang","K","Kecil","B","Besar","")</f>
        <v/>
      </c>
    </row>
    <row r="224" spans="1:7" x14ac:dyDescent="0.3">
      <c r="A224" s="1" t="s">
        <v>223</v>
      </c>
      <c r="B224" s="1" t="s">
        <v>765</v>
      </c>
      <c r="C224" s="2">
        <v>1.22</v>
      </c>
      <c r="D224" s="1" t="s">
        <v>771</v>
      </c>
      <c r="E224" s="1" t="s">
        <v>710</v>
      </c>
      <c r="F224" t="str" cm="1">
        <f t="array" ref="F224">_xlfn.SWITCH(MID(E224,6,1),"S","Sucker","C","Crown","N","Nursery","")</f>
        <v/>
      </c>
      <c r="G224" t="str" cm="1">
        <f t="array" ref="G224">_xlfn.SWITCH(MID(E224,7,1),"S","Sedang","K","Kecil","B","Besar","")</f>
        <v/>
      </c>
    </row>
    <row r="225" spans="1:7" x14ac:dyDescent="0.3">
      <c r="A225" s="1" t="s">
        <v>224</v>
      </c>
      <c r="B225" s="1" t="s">
        <v>765</v>
      </c>
      <c r="C225" s="2">
        <v>3.58</v>
      </c>
      <c r="D225" s="1" t="s">
        <v>772</v>
      </c>
      <c r="E225" s="1" t="s">
        <v>710</v>
      </c>
      <c r="F225" t="str" cm="1">
        <f t="array" ref="F225">_xlfn.SWITCH(MID(E225,6,1),"S","Sucker","C","Crown","N","Nursery","")</f>
        <v/>
      </c>
      <c r="G225" t="str" cm="1">
        <f t="array" ref="G225">_xlfn.SWITCH(MID(E225,7,1),"S","Sedang","K","Kecil","B","Besar","")</f>
        <v/>
      </c>
    </row>
    <row r="226" spans="1:7" x14ac:dyDescent="0.3">
      <c r="A226" s="1" t="s">
        <v>225</v>
      </c>
      <c r="B226" s="1" t="s">
        <v>765</v>
      </c>
      <c r="C226" s="2">
        <v>0.55000000000000004</v>
      </c>
      <c r="D226" s="1" t="s">
        <v>771</v>
      </c>
      <c r="E226" s="1" t="s">
        <v>710</v>
      </c>
      <c r="F226" t="str" cm="1">
        <f t="array" ref="F226">_xlfn.SWITCH(MID(E226,6,1),"S","Sucker","C","Crown","N","Nursery","")</f>
        <v/>
      </c>
      <c r="G226" t="str" cm="1">
        <f t="array" ref="G226">_xlfn.SWITCH(MID(E226,7,1),"S","Sedang","K","Kecil","B","Besar","")</f>
        <v/>
      </c>
    </row>
    <row r="227" spans="1:7" x14ac:dyDescent="0.3">
      <c r="A227" s="1" t="s">
        <v>226</v>
      </c>
      <c r="B227" s="1" t="s">
        <v>765</v>
      </c>
      <c r="C227" s="2">
        <v>1.18</v>
      </c>
      <c r="D227" s="1" t="s">
        <v>771</v>
      </c>
      <c r="E227" s="1" t="s">
        <v>710</v>
      </c>
      <c r="F227" t="str" cm="1">
        <f t="array" ref="F227">_xlfn.SWITCH(MID(E227,6,1),"S","Sucker","C","Crown","N","Nursery","")</f>
        <v/>
      </c>
      <c r="G227" t="str" cm="1">
        <f t="array" ref="G227">_xlfn.SWITCH(MID(E227,7,1),"S","Sedang","K","Kecil","B","Besar","")</f>
        <v/>
      </c>
    </row>
    <row r="228" spans="1:7" x14ac:dyDescent="0.3">
      <c r="A228" s="1" t="s">
        <v>227</v>
      </c>
      <c r="B228" s="1" t="s">
        <v>765</v>
      </c>
      <c r="C228" s="2">
        <v>2.62</v>
      </c>
      <c r="D228" s="1" t="s">
        <v>771</v>
      </c>
      <c r="E228" s="1" t="s">
        <v>710</v>
      </c>
      <c r="F228" t="str" cm="1">
        <f t="array" ref="F228">_xlfn.SWITCH(MID(E228,6,1),"S","Sucker","C","Crown","N","Nursery","")</f>
        <v/>
      </c>
      <c r="G228" t="str" cm="1">
        <f t="array" ref="G228">_xlfn.SWITCH(MID(E228,7,1),"S","Sedang","K","Kecil","B","Besar","")</f>
        <v/>
      </c>
    </row>
    <row r="229" spans="1:7" x14ac:dyDescent="0.3">
      <c r="A229" s="1" t="s">
        <v>228</v>
      </c>
      <c r="B229" s="1" t="s">
        <v>765</v>
      </c>
      <c r="C229" s="2">
        <v>4.0599999999999996</v>
      </c>
      <c r="D229" s="1" t="s">
        <v>771</v>
      </c>
      <c r="E229" s="1" t="s">
        <v>710</v>
      </c>
      <c r="F229" t="str" cm="1">
        <f t="array" ref="F229">_xlfn.SWITCH(MID(E229,6,1),"S","Sucker","C","Crown","N","Nursery","")</f>
        <v/>
      </c>
      <c r="G229" t="str" cm="1">
        <f t="array" ref="G229">_xlfn.SWITCH(MID(E229,7,1),"S","Sedang","K","Kecil","B","Besar","")</f>
        <v/>
      </c>
    </row>
    <row r="230" spans="1:7" x14ac:dyDescent="0.3">
      <c r="A230" s="1" t="s">
        <v>229</v>
      </c>
      <c r="B230" s="1" t="s">
        <v>765</v>
      </c>
      <c r="C230" s="2">
        <v>1.48</v>
      </c>
      <c r="D230" s="1" t="s">
        <v>771</v>
      </c>
      <c r="E230" s="1" t="s">
        <v>710</v>
      </c>
      <c r="F230" t="str" cm="1">
        <f t="array" ref="F230">_xlfn.SWITCH(MID(E230,6,1),"S","Sucker","C","Crown","N","Nursery","")</f>
        <v/>
      </c>
      <c r="G230" t="str" cm="1">
        <f t="array" ref="G230">_xlfn.SWITCH(MID(E230,7,1),"S","Sedang","K","Kecil","B","Besar","")</f>
        <v/>
      </c>
    </row>
    <row r="231" spans="1:7" x14ac:dyDescent="0.3">
      <c r="A231" s="1" t="s">
        <v>230</v>
      </c>
      <c r="B231" s="1" t="s">
        <v>765</v>
      </c>
      <c r="C231" s="2">
        <v>1.2</v>
      </c>
      <c r="D231" s="1" t="s">
        <v>773</v>
      </c>
      <c r="E231" s="1" t="s">
        <v>710</v>
      </c>
      <c r="F231" t="str" cm="1">
        <f t="array" ref="F231">_xlfn.SWITCH(MID(E231,6,1),"S","Sucker","C","Crown","N","Nursery","")</f>
        <v/>
      </c>
      <c r="G231" t="str" cm="1">
        <f t="array" ref="G231">_xlfn.SWITCH(MID(E231,7,1),"S","Sedang","K","Kecil","B","Besar","")</f>
        <v/>
      </c>
    </row>
    <row r="232" spans="1:7" x14ac:dyDescent="0.3">
      <c r="A232" s="1" t="s">
        <v>231</v>
      </c>
      <c r="B232" s="1" t="s">
        <v>765</v>
      </c>
      <c r="C232" s="2">
        <v>3.66</v>
      </c>
      <c r="D232" s="1" t="s">
        <v>771</v>
      </c>
      <c r="E232" s="1" t="s">
        <v>710</v>
      </c>
      <c r="F232" t="str" cm="1">
        <f t="array" ref="F232">_xlfn.SWITCH(MID(E232,6,1),"S","Sucker","C","Crown","N","Nursery","")</f>
        <v/>
      </c>
      <c r="G232" t="str" cm="1">
        <f t="array" ref="G232">_xlfn.SWITCH(MID(E232,7,1),"S","Sedang","K","Kecil","B","Besar","")</f>
        <v/>
      </c>
    </row>
    <row r="233" spans="1:7" x14ac:dyDescent="0.3">
      <c r="A233" s="1" t="s">
        <v>232</v>
      </c>
      <c r="B233" s="1" t="s">
        <v>765</v>
      </c>
      <c r="C233" s="2">
        <v>1.87</v>
      </c>
      <c r="D233" s="1" t="s">
        <v>771</v>
      </c>
      <c r="E233" s="1" t="s">
        <v>710</v>
      </c>
      <c r="F233" t="str" cm="1">
        <f t="array" ref="F233">_xlfn.SWITCH(MID(E233,6,1),"S","Sucker","C","Crown","N","Nursery","")</f>
        <v/>
      </c>
      <c r="G233" t="str" cm="1">
        <f t="array" ref="G233">_xlfn.SWITCH(MID(E233,7,1),"S","Sedang","K","Kecil","B","Besar","")</f>
        <v/>
      </c>
    </row>
    <row r="234" spans="1:7" x14ac:dyDescent="0.3">
      <c r="A234" s="1" t="s">
        <v>233</v>
      </c>
      <c r="B234" s="1" t="s">
        <v>765</v>
      </c>
      <c r="C234" s="2">
        <v>4.33</v>
      </c>
      <c r="D234" s="1" t="s">
        <v>771</v>
      </c>
      <c r="E234" s="1" t="s">
        <v>710</v>
      </c>
      <c r="F234" t="str" cm="1">
        <f t="array" ref="F234">_xlfn.SWITCH(MID(E234,6,1),"S","Sucker","C","Crown","N","Nursery","")</f>
        <v/>
      </c>
      <c r="G234" t="str" cm="1">
        <f t="array" ref="G234">_xlfn.SWITCH(MID(E234,7,1),"S","Sedang","K","Kecil","B","Besar","")</f>
        <v/>
      </c>
    </row>
    <row r="235" spans="1:7" x14ac:dyDescent="0.3">
      <c r="A235" s="1" t="s">
        <v>234</v>
      </c>
      <c r="B235" s="1" t="s">
        <v>765</v>
      </c>
      <c r="C235" s="2">
        <v>2.35</v>
      </c>
      <c r="D235" s="1" t="s">
        <v>774</v>
      </c>
      <c r="E235" s="1" t="s">
        <v>775</v>
      </c>
      <c r="F235" t="str" cm="1">
        <f t="array" ref="F235">_xlfn.SWITCH(MID(E235,6,1),"S","Sucker","C","Crown","N","Nursery","")</f>
        <v/>
      </c>
      <c r="G235" t="str" cm="1">
        <f t="array" ref="G235">_xlfn.SWITCH(MID(E235,7,1),"S","Sedang","K","Kecil","B","Besar","")</f>
        <v/>
      </c>
    </row>
    <row r="236" spans="1:7" x14ac:dyDescent="0.3">
      <c r="A236" s="1" t="s">
        <v>235</v>
      </c>
      <c r="B236" s="1" t="s">
        <v>765</v>
      </c>
      <c r="C236" s="2">
        <v>6.18</v>
      </c>
      <c r="D236" s="1" t="s">
        <v>771</v>
      </c>
      <c r="E236" s="1" t="s">
        <v>710</v>
      </c>
      <c r="F236" t="str" cm="1">
        <f t="array" ref="F236">_xlfn.SWITCH(MID(E236,6,1),"S","Sucker","C","Crown","N","Nursery","")</f>
        <v/>
      </c>
      <c r="G236" t="str" cm="1">
        <f t="array" ref="G236">_xlfn.SWITCH(MID(E236,7,1),"S","Sedang","K","Kecil","B","Besar","")</f>
        <v/>
      </c>
    </row>
    <row r="237" spans="1:7" x14ac:dyDescent="0.3">
      <c r="A237" s="1" t="s">
        <v>236</v>
      </c>
      <c r="B237" s="1" t="s">
        <v>765</v>
      </c>
      <c r="C237" s="2">
        <v>2.25</v>
      </c>
      <c r="D237" s="1" t="s">
        <v>776</v>
      </c>
      <c r="E237" s="1" t="s">
        <v>710</v>
      </c>
      <c r="F237" t="str" cm="1">
        <f t="array" ref="F237">_xlfn.SWITCH(MID(E237,6,1),"S","Sucker","C","Crown","N","Nursery","")</f>
        <v/>
      </c>
      <c r="G237" t="str" cm="1">
        <f t="array" ref="G237">_xlfn.SWITCH(MID(E237,7,1),"S","Sedang","K","Kecil","B","Besar","")</f>
        <v/>
      </c>
    </row>
    <row r="238" spans="1:7" x14ac:dyDescent="0.3">
      <c r="A238" s="1" t="s">
        <v>237</v>
      </c>
      <c r="B238" s="1" t="s">
        <v>765</v>
      </c>
      <c r="C238" s="2">
        <v>2.76</v>
      </c>
      <c r="D238" s="1" t="s">
        <v>777</v>
      </c>
      <c r="E238" s="1" t="s">
        <v>710</v>
      </c>
      <c r="F238" t="str" cm="1">
        <f t="array" ref="F238">_xlfn.SWITCH(MID(E238,6,1),"S","Sucker","C","Crown","N","Nursery","")</f>
        <v/>
      </c>
      <c r="G238" t="str" cm="1">
        <f t="array" ref="G238">_xlfn.SWITCH(MID(E238,7,1),"S","Sedang","K","Kecil","B","Besar","")</f>
        <v/>
      </c>
    </row>
    <row r="239" spans="1:7" x14ac:dyDescent="0.3">
      <c r="A239" s="1" t="s">
        <v>238</v>
      </c>
      <c r="B239" s="1" t="s">
        <v>765</v>
      </c>
      <c r="C239" s="2">
        <v>3.27</v>
      </c>
      <c r="D239" s="1" t="s">
        <v>771</v>
      </c>
      <c r="E239" s="1" t="s">
        <v>710</v>
      </c>
      <c r="F239" t="str" cm="1">
        <f t="array" ref="F239">_xlfn.SWITCH(MID(E239,6,1),"S","Sucker","C","Crown","N","Nursery","")</f>
        <v/>
      </c>
      <c r="G239" t="str" cm="1">
        <f t="array" ref="G239">_xlfn.SWITCH(MID(E239,7,1),"S","Sedang","K","Kecil","B","Besar","")</f>
        <v/>
      </c>
    </row>
    <row r="240" spans="1:7" x14ac:dyDescent="0.3">
      <c r="A240" s="1" t="s">
        <v>239</v>
      </c>
      <c r="B240" s="1" t="s">
        <v>752</v>
      </c>
      <c r="C240" s="2">
        <v>6.56</v>
      </c>
      <c r="D240" s="1" t="s">
        <v>719</v>
      </c>
      <c r="E240" s="1" t="s">
        <v>711</v>
      </c>
      <c r="F240" t="str" cm="1">
        <f t="array" ref="F240">_xlfn.SWITCH(MID(E240,6,1),"S","Sucker","C","Crown","N","Nursery","")</f>
        <v>Crown</v>
      </c>
      <c r="G240" t="str" cm="1">
        <f t="array" ref="G240">_xlfn.SWITCH(MID(E240,7,1),"S","Sedang","K","Kecil","B","Besar","")</f>
        <v>Kecil</v>
      </c>
    </row>
    <row r="241" spans="1:7" x14ac:dyDescent="0.3">
      <c r="A241" s="1" t="s">
        <v>240</v>
      </c>
      <c r="B241" s="1" t="s">
        <v>752</v>
      </c>
      <c r="C241" s="2">
        <v>2.86</v>
      </c>
      <c r="D241" s="1" t="s">
        <v>719</v>
      </c>
      <c r="E241" s="1" t="s">
        <v>711</v>
      </c>
      <c r="F241" t="str" cm="1">
        <f t="array" ref="F241">_xlfn.SWITCH(MID(E241,6,1),"S","Sucker","C","Crown","N","Nursery","")</f>
        <v>Crown</v>
      </c>
      <c r="G241" t="str" cm="1">
        <f t="array" ref="G241">_xlfn.SWITCH(MID(E241,7,1),"S","Sedang","K","Kecil","B","Besar","")</f>
        <v>Kecil</v>
      </c>
    </row>
    <row r="242" spans="1:7" x14ac:dyDescent="0.3">
      <c r="A242" s="1" t="s">
        <v>241</v>
      </c>
      <c r="B242" s="1" t="s">
        <v>752</v>
      </c>
      <c r="C242" s="2">
        <v>5.85</v>
      </c>
      <c r="D242" s="1" t="s">
        <v>719</v>
      </c>
      <c r="E242" s="1" t="s">
        <v>711</v>
      </c>
      <c r="F242" t="str" cm="1">
        <f t="array" ref="F242">_xlfn.SWITCH(MID(E242,6,1),"S","Sucker","C","Crown","N","Nursery","")</f>
        <v>Crown</v>
      </c>
      <c r="G242" t="str" cm="1">
        <f t="array" ref="G242">_xlfn.SWITCH(MID(E242,7,1),"S","Sedang","K","Kecil","B","Besar","")</f>
        <v>Kecil</v>
      </c>
    </row>
    <row r="243" spans="1:7" x14ac:dyDescent="0.3">
      <c r="A243" s="1" t="s">
        <v>242</v>
      </c>
      <c r="B243" s="1" t="s">
        <v>765</v>
      </c>
      <c r="C243" s="2">
        <v>3.35</v>
      </c>
      <c r="D243" s="1" t="s">
        <v>776</v>
      </c>
      <c r="E243" s="1" t="s">
        <v>710</v>
      </c>
      <c r="F243" t="str" cm="1">
        <f t="array" ref="F243">_xlfn.SWITCH(MID(E243,6,1),"S","Sucker","C","Crown","N","Nursery","")</f>
        <v/>
      </c>
      <c r="G243" t="str" cm="1">
        <f t="array" ref="G243">_xlfn.SWITCH(MID(E243,7,1),"S","Sedang","K","Kecil","B","Besar","")</f>
        <v/>
      </c>
    </row>
    <row r="244" spans="1:7" x14ac:dyDescent="0.3">
      <c r="A244" s="1" t="s">
        <v>243</v>
      </c>
      <c r="B244" s="1" t="s">
        <v>765</v>
      </c>
      <c r="C244" s="2">
        <v>1.47</v>
      </c>
      <c r="D244" s="1" t="s">
        <v>771</v>
      </c>
      <c r="E244" s="1" t="s">
        <v>710</v>
      </c>
      <c r="F244" t="str" cm="1">
        <f t="array" ref="F244">_xlfn.SWITCH(MID(E244,6,1),"S","Sucker","C","Crown","N","Nursery","")</f>
        <v/>
      </c>
      <c r="G244" t="str" cm="1">
        <f t="array" ref="G244">_xlfn.SWITCH(MID(E244,7,1),"S","Sedang","K","Kecil","B","Besar","")</f>
        <v/>
      </c>
    </row>
    <row r="245" spans="1:7" x14ac:dyDescent="0.3">
      <c r="A245" s="1" t="s">
        <v>244</v>
      </c>
      <c r="B245" s="1" t="s">
        <v>778</v>
      </c>
      <c r="C245" s="2">
        <v>0.1</v>
      </c>
      <c r="D245" s="1" t="s">
        <v>779</v>
      </c>
      <c r="E245" s="1" t="s">
        <v>711</v>
      </c>
      <c r="F245" t="str" cm="1">
        <f t="array" ref="F245">_xlfn.SWITCH(MID(E245,6,1),"S","Sucker","C","Crown","N","Nursery","")</f>
        <v>Crown</v>
      </c>
      <c r="G245" t="str" cm="1">
        <f t="array" ref="G245">_xlfn.SWITCH(MID(E245,7,1),"S","Sedang","K","Kecil","B","Besar","")</f>
        <v>Kecil</v>
      </c>
    </row>
    <row r="246" spans="1:7" x14ac:dyDescent="0.3">
      <c r="A246" s="1" t="s">
        <v>245</v>
      </c>
      <c r="B246" s="1" t="s">
        <v>752</v>
      </c>
      <c r="C246" s="2">
        <v>13.13</v>
      </c>
      <c r="D246" s="1" t="s">
        <v>719</v>
      </c>
      <c r="E246" s="1" t="s">
        <v>711</v>
      </c>
      <c r="F246" t="str" cm="1">
        <f t="array" ref="F246">_xlfn.SWITCH(MID(E246,6,1),"S","Sucker","C","Crown","N","Nursery","")</f>
        <v>Crown</v>
      </c>
      <c r="G246" t="str" cm="1">
        <f t="array" ref="G246">_xlfn.SWITCH(MID(E246,7,1),"S","Sedang","K","Kecil","B","Besar","")</f>
        <v>Kecil</v>
      </c>
    </row>
    <row r="247" spans="1:7" x14ac:dyDescent="0.3">
      <c r="A247" s="1" t="s">
        <v>246</v>
      </c>
      <c r="B247" s="1" t="s">
        <v>752</v>
      </c>
      <c r="C247" s="2">
        <v>7.5</v>
      </c>
      <c r="D247" s="1" t="s">
        <v>716</v>
      </c>
      <c r="E247" s="1" t="s">
        <v>710</v>
      </c>
      <c r="F247" t="str" cm="1">
        <f t="array" ref="F247">_xlfn.SWITCH(MID(E247,6,1),"S","Sucker","C","Crown","N","Nursery","")</f>
        <v/>
      </c>
      <c r="G247" t="str" cm="1">
        <f t="array" ref="G247">_xlfn.SWITCH(MID(E247,7,1),"S","Sedang","K","Kecil","B","Besar","")</f>
        <v/>
      </c>
    </row>
    <row r="248" spans="1:7" x14ac:dyDescent="0.3">
      <c r="A248" s="1" t="s">
        <v>247</v>
      </c>
      <c r="B248" s="1" t="s">
        <v>752</v>
      </c>
      <c r="C248" s="2">
        <v>4.04</v>
      </c>
      <c r="D248" s="1" t="s">
        <v>746</v>
      </c>
      <c r="E248" s="1" t="s">
        <v>710</v>
      </c>
      <c r="F248" t="str" cm="1">
        <f t="array" ref="F248">_xlfn.SWITCH(MID(E248,6,1),"S","Sucker","C","Crown","N","Nursery","")</f>
        <v/>
      </c>
      <c r="G248" t="str" cm="1">
        <f t="array" ref="G248">_xlfn.SWITCH(MID(E248,7,1),"S","Sedang","K","Kecil","B","Besar","")</f>
        <v/>
      </c>
    </row>
    <row r="249" spans="1:7" x14ac:dyDescent="0.3">
      <c r="A249" s="1" t="s">
        <v>248</v>
      </c>
      <c r="B249" s="1" t="s">
        <v>752</v>
      </c>
      <c r="C249" s="2">
        <v>9.51</v>
      </c>
      <c r="D249" s="1" t="s">
        <v>706</v>
      </c>
      <c r="E249" s="1" t="s">
        <v>711</v>
      </c>
      <c r="F249" t="str" cm="1">
        <f t="array" ref="F249">_xlfn.SWITCH(MID(E249,6,1),"S","Sucker","C","Crown","N","Nursery","")</f>
        <v>Crown</v>
      </c>
      <c r="G249" t="str" cm="1">
        <f t="array" ref="G249">_xlfn.SWITCH(MID(E249,7,1),"S","Sedang","K","Kecil","B","Besar","")</f>
        <v>Kecil</v>
      </c>
    </row>
    <row r="250" spans="1:7" x14ac:dyDescent="0.3">
      <c r="A250" s="1" t="s">
        <v>249</v>
      </c>
      <c r="B250" s="1" t="s">
        <v>752</v>
      </c>
      <c r="C250" s="2">
        <v>12.68</v>
      </c>
      <c r="D250" s="1" t="s">
        <v>721</v>
      </c>
      <c r="E250" s="1" t="s">
        <v>710</v>
      </c>
      <c r="F250" t="str" cm="1">
        <f t="array" ref="F250">_xlfn.SWITCH(MID(E250,6,1),"S","Sucker","C","Crown","N","Nursery","")</f>
        <v/>
      </c>
      <c r="G250" t="str" cm="1">
        <f t="array" ref="G250">_xlfn.SWITCH(MID(E250,7,1),"S","Sedang","K","Kecil","B","Besar","")</f>
        <v/>
      </c>
    </row>
    <row r="251" spans="1:7" x14ac:dyDescent="0.3">
      <c r="A251" s="1" t="s">
        <v>250</v>
      </c>
      <c r="B251" s="1" t="s">
        <v>752</v>
      </c>
      <c r="C251" s="2">
        <v>5.96</v>
      </c>
      <c r="D251" s="1" t="s">
        <v>721</v>
      </c>
      <c r="E251" s="1" t="s">
        <v>710</v>
      </c>
      <c r="F251" t="str" cm="1">
        <f t="array" ref="F251">_xlfn.SWITCH(MID(E251,6,1),"S","Sucker","C","Crown","N","Nursery","")</f>
        <v/>
      </c>
      <c r="G251" t="str" cm="1">
        <f t="array" ref="G251">_xlfn.SWITCH(MID(E251,7,1),"S","Sedang","K","Kecil","B","Besar","")</f>
        <v/>
      </c>
    </row>
    <row r="252" spans="1:7" x14ac:dyDescent="0.3">
      <c r="A252" s="1" t="s">
        <v>251</v>
      </c>
      <c r="B252" s="1" t="s">
        <v>752</v>
      </c>
      <c r="C252" s="2">
        <v>6.72</v>
      </c>
      <c r="D252" s="1" t="s">
        <v>721</v>
      </c>
      <c r="E252" s="1" t="s">
        <v>710</v>
      </c>
      <c r="F252" t="str" cm="1">
        <f t="array" ref="F252">_xlfn.SWITCH(MID(E252,6,1),"S","Sucker","C","Crown","N","Nursery","")</f>
        <v/>
      </c>
      <c r="G252" t="str" cm="1">
        <f t="array" ref="G252">_xlfn.SWITCH(MID(E252,7,1),"S","Sedang","K","Kecil","B","Besar","")</f>
        <v/>
      </c>
    </row>
    <row r="253" spans="1:7" x14ac:dyDescent="0.3">
      <c r="A253" s="1" t="s">
        <v>252</v>
      </c>
      <c r="B253" s="1" t="s">
        <v>752</v>
      </c>
      <c r="C253" s="2">
        <v>10.38</v>
      </c>
      <c r="D253" s="1" t="s">
        <v>721</v>
      </c>
      <c r="E253" s="1" t="s">
        <v>710</v>
      </c>
      <c r="F253" t="str" cm="1">
        <f t="array" ref="F253">_xlfn.SWITCH(MID(E253,6,1),"S","Sucker","C","Crown","N","Nursery","")</f>
        <v/>
      </c>
      <c r="G253" t="str" cm="1">
        <f t="array" ref="G253">_xlfn.SWITCH(MID(E253,7,1),"S","Sedang","K","Kecil","B","Besar","")</f>
        <v/>
      </c>
    </row>
    <row r="254" spans="1:7" x14ac:dyDescent="0.3">
      <c r="A254" s="1" t="s">
        <v>253</v>
      </c>
      <c r="B254" s="1" t="s">
        <v>752</v>
      </c>
      <c r="C254" s="2">
        <v>4.51</v>
      </c>
      <c r="D254" s="1" t="s">
        <v>721</v>
      </c>
      <c r="E254" s="1" t="s">
        <v>710</v>
      </c>
      <c r="F254" t="str" cm="1">
        <f t="array" ref="F254">_xlfn.SWITCH(MID(E254,6,1),"S","Sucker","C","Crown","N","Nursery","")</f>
        <v/>
      </c>
      <c r="G254" t="str" cm="1">
        <f t="array" ref="G254">_xlfn.SWITCH(MID(E254,7,1),"S","Sedang","K","Kecil","B","Besar","")</f>
        <v/>
      </c>
    </row>
    <row r="255" spans="1:7" x14ac:dyDescent="0.3">
      <c r="A255" s="1" t="s">
        <v>254</v>
      </c>
      <c r="B255" s="1" t="s">
        <v>752</v>
      </c>
      <c r="C255" s="2">
        <v>5.87</v>
      </c>
      <c r="D255" s="1" t="s">
        <v>721</v>
      </c>
      <c r="E255" s="1" t="s">
        <v>710</v>
      </c>
      <c r="F255" t="str" cm="1">
        <f t="array" ref="F255">_xlfn.SWITCH(MID(E255,6,1),"S","Sucker","C","Crown","N","Nursery","")</f>
        <v/>
      </c>
      <c r="G255" t="str" cm="1">
        <f t="array" ref="G255">_xlfn.SWITCH(MID(E255,7,1),"S","Sedang","K","Kecil","B","Besar","")</f>
        <v/>
      </c>
    </row>
    <row r="256" spans="1:7" x14ac:dyDescent="0.3">
      <c r="A256" s="1" t="s">
        <v>255</v>
      </c>
      <c r="B256" s="1" t="s">
        <v>752</v>
      </c>
      <c r="C256" s="2">
        <v>9.44</v>
      </c>
      <c r="D256" s="1" t="s">
        <v>713</v>
      </c>
      <c r="E256" s="1" t="s">
        <v>710</v>
      </c>
      <c r="F256" t="str" cm="1">
        <f t="array" ref="F256">_xlfn.SWITCH(MID(E256,6,1),"S","Sucker","C","Crown","N","Nursery","")</f>
        <v/>
      </c>
      <c r="G256" t="str" cm="1">
        <f t="array" ref="G256">_xlfn.SWITCH(MID(E256,7,1),"S","Sedang","K","Kecil","B","Besar","")</f>
        <v/>
      </c>
    </row>
    <row r="257" spans="1:7" x14ac:dyDescent="0.3">
      <c r="A257" s="1" t="s">
        <v>256</v>
      </c>
      <c r="B257" s="1" t="s">
        <v>752</v>
      </c>
      <c r="C257" s="2">
        <v>6.71</v>
      </c>
      <c r="D257" s="1" t="s">
        <v>757</v>
      </c>
      <c r="E257" s="1" t="s">
        <v>710</v>
      </c>
      <c r="F257" t="str" cm="1">
        <f t="array" ref="F257">_xlfn.SWITCH(MID(E257,6,1),"S","Sucker","C","Crown","N","Nursery","")</f>
        <v/>
      </c>
      <c r="G257" t="str" cm="1">
        <f t="array" ref="G257">_xlfn.SWITCH(MID(E257,7,1),"S","Sedang","K","Kecil","B","Besar","")</f>
        <v/>
      </c>
    </row>
    <row r="258" spans="1:7" x14ac:dyDescent="0.3">
      <c r="A258" s="1" t="s">
        <v>257</v>
      </c>
      <c r="B258" s="1" t="s">
        <v>752</v>
      </c>
      <c r="C258" s="2">
        <v>6.84</v>
      </c>
      <c r="D258" s="1" t="s">
        <v>757</v>
      </c>
      <c r="E258" s="1" t="s">
        <v>710</v>
      </c>
      <c r="F258" t="str" cm="1">
        <f t="array" ref="F258">_xlfn.SWITCH(MID(E258,6,1),"S","Sucker","C","Crown","N","Nursery","")</f>
        <v/>
      </c>
      <c r="G258" t="str" cm="1">
        <f t="array" ref="G258">_xlfn.SWITCH(MID(E258,7,1),"S","Sedang","K","Kecil","B","Besar","")</f>
        <v/>
      </c>
    </row>
    <row r="259" spans="1:7" x14ac:dyDescent="0.3">
      <c r="A259" s="1" t="s">
        <v>258</v>
      </c>
      <c r="B259" s="1" t="s">
        <v>752</v>
      </c>
      <c r="C259" s="2">
        <v>6.05</v>
      </c>
      <c r="D259" s="1" t="s">
        <v>723</v>
      </c>
      <c r="E259" s="1" t="s">
        <v>710</v>
      </c>
      <c r="F259" t="str" cm="1">
        <f t="array" ref="F259">_xlfn.SWITCH(MID(E259,6,1),"S","Sucker","C","Crown","N","Nursery","")</f>
        <v/>
      </c>
      <c r="G259" t="str" cm="1">
        <f t="array" ref="G259">_xlfn.SWITCH(MID(E259,7,1),"S","Sedang","K","Kecil","B","Besar","")</f>
        <v/>
      </c>
    </row>
    <row r="260" spans="1:7" x14ac:dyDescent="0.3">
      <c r="A260" s="1" t="s">
        <v>259</v>
      </c>
      <c r="B260" s="1" t="s">
        <v>752</v>
      </c>
      <c r="C260" s="2">
        <v>3.87</v>
      </c>
      <c r="D260" s="1" t="s">
        <v>706</v>
      </c>
      <c r="E260" s="1" t="s">
        <v>707</v>
      </c>
      <c r="F260" t="str" cm="1">
        <f t="array" ref="F260">_xlfn.SWITCH(MID(E260,6,1),"S","Sucker","C","Crown","N","Nursery","")</f>
        <v>Sucker</v>
      </c>
      <c r="G260" t="str" cm="1">
        <f t="array" ref="G260">_xlfn.SWITCH(MID(E260,7,1),"S","Sedang","K","Kecil","B","Besar","")</f>
        <v>Sedang</v>
      </c>
    </row>
    <row r="261" spans="1:7" x14ac:dyDescent="0.3">
      <c r="A261" s="1" t="s">
        <v>260</v>
      </c>
      <c r="B261" s="1" t="s">
        <v>752</v>
      </c>
      <c r="C261" s="2">
        <v>15.3</v>
      </c>
      <c r="D261" s="1" t="s">
        <v>733</v>
      </c>
      <c r="E261" s="1" t="s">
        <v>710</v>
      </c>
      <c r="F261" t="str" cm="1">
        <f t="array" ref="F261">_xlfn.SWITCH(MID(E261,6,1),"S","Sucker","C","Crown","N","Nursery","")</f>
        <v/>
      </c>
      <c r="G261" t="str" cm="1">
        <f t="array" ref="G261">_xlfn.SWITCH(MID(E261,7,1),"S","Sedang","K","Kecil","B","Besar","")</f>
        <v/>
      </c>
    </row>
    <row r="262" spans="1:7" x14ac:dyDescent="0.3">
      <c r="A262" s="1" t="s">
        <v>261</v>
      </c>
      <c r="B262" s="1" t="s">
        <v>778</v>
      </c>
      <c r="C262" s="2">
        <v>3.21</v>
      </c>
      <c r="D262" s="1" t="s">
        <v>719</v>
      </c>
      <c r="E262" s="1" t="s">
        <v>711</v>
      </c>
      <c r="F262" t="str" cm="1">
        <f t="array" ref="F262">_xlfn.SWITCH(MID(E262,6,1),"S","Sucker","C","Crown","N","Nursery","")</f>
        <v>Crown</v>
      </c>
      <c r="G262" t="str" cm="1">
        <f t="array" ref="G262">_xlfn.SWITCH(MID(E262,7,1),"S","Sedang","K","Kecil","B","Besar","")</f>
        <v>Kecil</v>
      </c>
    </row>
    <row r="263" spans="1:7" x14ac:dyDescent="0.3">
      <c r="A263" s="1" t="s">
        <v>262</v>
      </c>
      <c r="B263" s="1" t="s">
        <v>752</v>
      </c>
      <c r="C263" s="2">
        <v>5.12</v>
      </c>
      <c r="D263" s="1" t="s">
        <v>756</v>
      </c>
      <c r="E263" s="1" t="s">
        <v>711</v>
      </c>
      <c r="F263" t="str" cm="1">
        <f t="array" ref="F263">_xlfn.SWITCH(MID(E263,6,1),"S","Sucker","C","Crown","N","Nursery","")</f>
        <v>Crown</v>
      </c>
      <c r="G263" t="str" cm="1">
        <f t="array" ref="G263">_xlfn.SWITCH(MID(E263,7,1),"S","Sedang","K","Kecil","B","Besar","")</f>
        <v>Kecil</v>
      </c>
    </row>
    <row r="264" spans="1:7" x14ac:dyDescent="0.3">
      <c r="A264" s="1" t="s">
        <v>263</v>
      </c>
      <c r="B264" s="1" t="s">
        <v>752</v>
      </c>
      <c r="C264" s="2">
        <v>2.92</v>
      </c>
      <c r="D264" s="1" t="s">
        <v>756</v>
      </c>
      <c r="E264" s="1" t="s">
        <v>734</v>
      </c>
      <c r="F264" t="str" cm="1">
        <f t="array" ref="F264">_xlfn.SWITCH(MID(E264,6,1),"S","Sucker","C","Crown","N","Nursery","")</f>
        <v>Sucker</v>
      </c>
      <c r="G264" t="str" cm="1">
        <f t="array" ref="G264">_xlfn.SWITCH(MID(E264,7,1),"S","Sedang","K","Kecil","B","Besar","")</f>
        <v>Kecil</v>
      </c>
    </row>
    <row r="265" spans="1:7" x14ac:dyDescent="0.3">
      <c r="A265" s="1" t="s">
        <v>264</v>
      </c>
      <c r="B265" s="1" t="s">
        <v>752</v>
      </c>
      <c r="C265" s="2">
        <v>6.44</v>
      </c>
      <c r="D265" s="1" t="s">
        <v>766</v>
      </c>
      <c r="E265" s="1" t="s">
        <v>710</v>
      </c>
      <c r="F265" t="str" cm="1">
        <f t="array" ref="F265">_xlfn.SWITCH(MID(E265,6,1),"S","Sucker","C","Crown","N","Nursery","")</f>
        <v/>
      </c>
      <c r="G265" t="str" cm="1">
        <f t="array" ref="G265">_xlfn.SWITCH(MID(E265,7,1),"S","Sedang","K","Kecil","B","Besar","")</f>
        <v/>
      </c>
    </row>
    <row r="266" spans="1:7" x14ac:dyDescent="0.3">
      <c r="A266" s="1" t="s">
        <v>265</v>
      </c>
      <c r="B266" s="1" t="s">
        <v>752</v>
      </c>
      <c r="C266" s="2">
        <v>5.76</v>
      </c>
      <c r="D266" s="1" t="s">
        <v>737</v>
      </c>
      <c r="E266" s="1" t="s">
        <v>711</v>
      </c>
      <c r="F266" t="str" cm="1">
        <f t="array" ref="F266">_xlfn.SWITCH(MID(E266,6,1),"S","Sucker","C","Crown","N","Nursery","")</f>
        <v>Crown</v>
      </c>
      <c r="G266" t="str" cm="1">
        <f t="array" ref="G266">_xlfn.SWITCH(MID(E266,7,1),"S","Sedang","K","Kecil","B","Besar","")</f>
        <v>Kecil</v>
      </c>
    </row>
    <row r="267" spans="1:7" x14ac:dyDescent="0.3">
      <c r="A267" s="1" t="s">
        <v>266</v>
      </c>
      <c r="B267" s="1" t="s">
        <v>752</v>
      </c>
      <c r="C267" s="2">
        <v>7.09</v>
      </c>
      <c r="D267" s="1" t="s">
        <v>737</v>
      </c>
      <c r="E267" s="1" t="s">
        <v>707</v>
      </c>
      <c r="F267" t="str" cm="1">
        <f t="array" ref="F267">_xlfn.SWITCH(MID(E267,6,1),"S","Sucker","C","Crown","N","Nursery","")</f>
        <v>Sucker</v>
      </c>
      <c r="G267" t="str" cm="1">
        <f t="array" ref="G267">_xlfn.SWITCH(MID(E267,7,1),"S","Sedang","K","Kecil","B","Besar","")</f>
        <v>Sedang</v>
      </c>
    </row>
    <row r="268" spans="1:7" x14ac:dyDescent="0.3">
      <c r="A268" s="1" t="s">
        <v>267</v>
      </c>
      <c r="B268" s="1" t="s">
        <v>752</v>
      </c>
      <c r="C268" s="2">
        <v>5.34</v>
      </c>
      <c r="D268" s="1" t="s">
        <v>738</v>
      </c>
      <c r="E268" s="1" t="s">
        <v>734</v>
      </c>
      <c r="F268" t="str" cm="1">
        <f t="array" ref="F268">_xlfn.SWITCH(MID(E268,6,1),"S","Sucker","C","Crown","N","Nursery","")</f>
        <v>Sucker</v>
      </c>
      <c r="G268" t="str" cm="1">
        <f t="array" ref="G268">_xlfn.SWITCH(MID(E268,7,1),"S","Sedang","K","Kecil","B","Besar","")</f>
        <v>Kecil</v>
      </c>
    </row>
    <row r="269" spans="1:7" x14ac:dyDescent="0.3">
      <c r="A269" s="1" t="s">
        <v>268</v>
      </c>
      <c r="B269" s="1" t="s">
        <v>752</v>
      </c>
      <c r="C269" s="2">
        <v>2.96</v>
      </c>
      <c r="D269" s="1" t="s">
        <v>738</v>
      </c>
      <c r="E269" s="1" t="s">
        <v>711</v>
      </c>
      <c r="F269" t="str" cm="1">
        <f t="array" ref="F269">_xlfn.SWITCH(MID(E269,6,1),"S","Sucker","C","Crown","N","Nursery","")</f>
        <v>Crown</v>
      </c>
      <c r="G269" t="str" cm="1">
        <f t="array" ref="G269">_xlfn.SWITCH(MID(E269,7,1),"S","Sedang","K","Kecil","B","Besar","")</f>
        <v>Kecil</v>
      </c>
    </row>
    <row r="270" spans="1:7" x14ac:dyDescent="0.3">
      <c r="A270" s="1" t="s">
        <v>269</v>
      </c>
      <c r="B270" s="1" t="s">
        <v>752</v>
      </c>
      <c r="C270" s="2">
        <v>5.43</v>
      </c>
      <c r="D270" s="1" t="s">
        <v>756</v>
      </c>
      <c r="E270" s="1" t="s">
        <v>707</v>
      </c>
      <c r="F270" t="str" cm="1">
        <f t="array" ref="F270">_xlfn.SWITCH(MID(E270,6,1),"S","Sucker","C","Crown","N","Nursery","")</f>
        <v>Sucker</v>
      </c>
      <c r="G270" t="str" cm="1">
        <f t="array" ref="G270">_xlfn.SWITCH(MID(E270,7,1),"S","Sedang","K","Kecil","B","Besar","")</f>
        <v>Sedang</v>
      </c>
    </row>
    <row r="271" spans="1:7" x14ac:dyDescent="0.3">
      <c r="A271" s="1" t="s">
        <v>270</v>
      </c>
      <c r="B271" s="1" t="s">
        <v>752</v>
      </c>
      <c r="C271" s="2">
        <v>5.12</v>
      </c>
      <c r="D271" s="1" t="s">
        <v>719</v>
      </c>
      <c r="E271" s="1" t="s">
        <v>711</v>
      </c>
      <c r="F271" t="str" cm="1">
        <f t="array" ref="F271">_xlfn.SWITCH(MID(E271,6,1),"S","Sucker","C","Crown","N","Nursery","")</f>
        <v>Crown</v>
      </c>
      <c r="G271" t="str" cm="1">
        <f t="array" ref="G271">_xlfn.SWITCH(MID(E271,7,1),"S","Sedang","K","Kecil","B","Besar","")</f>
        <v>Kecil</v>
      </c>
    </row>
    <row r="272" spans="1:7" x14ac:dyDescent="0.3">
      <c r="A272" s="1" t="s">
        <v>271</v>
      </c>
      <c r="B272" s="1" t="s">
        <v>752</v>
      </c>
      <c r="C272" s="2">
        <v>3.2</v>
      </c>
      <c r="D272" s="1" t="s">
        <v>717</v>
      </c>
      <c r="E272" s="1" t="s">
        <v>711</v>
      </c>
      <c r="F272" t="str" cm="1">
        <f t="array" ref="F272">_xlfn.SWITCH(MID(E272,6,1),"S","Sucker","C","Crown","N","Nursery","")</f>
        <v>Crown</v>
      </c>
      <c r="G272" t="str" cm="1">
        <f t="array" ref="G272">_xlfn.SWITCH(MID(E272,7,1),"S","Sedang","K","Kecil","B","Besar","")</f>
        <v>Kecil</v>
      </c>
    </row>
    <row r="273" spans="1:7" x14ac:dyDescent="0.3">
      <c r="A273" s="1" t="s">
        <v>272</v>
      </c>
      <c r="B273" s="1" t="s">
        <v>765</v>
      </c>
      <c r="C273" s="2">
        <v>9.82</v>
      </c>
      <c r="D273" s="1" t="s">
        <v>766</v>
      </c>
      <c r="E273" s="1" t="s">
        <v>710</v>
      </c>
      <c r="F273" t="str" cm="1">
        <f t="array" ref="F273">_xlfn.SWITCH(MID(E273,6,1),"S","Sucker","C","Crown","N","Nursery","")</f>
        <v/>
      </c>
      <c r="G273" t="str" cm="1">
        <f t="array" ref="G273">_xlfn.SWITCH(MID(E273,7,1),"S","Sedang","K","Kecil","B","Besar","")</f>
        <v/>
      </c>
    </row>
    <row r="274" spans="1:7" x14ac:dyDescent="0.3">
      <c r="A274" s="1" t="s">
        <v>273</v>
      </c>
      <c r="B274" s="1" t="s">
        <v>765</v>
      </c>
      <c r="C274" s="2">
        <v>11.18</v>
      </c>
      <c r="D274" s="1" t="s">
        <v>766</v>
      </c>
      <c r="E274" s="1" t="s">
        <v>710</v>
      </c>
      <c r="F274" t="str" cm="1">
        <f t="array" ref="F274">_xlfn.SWITCH(MID(E274,6,1),"S","Sucker","C","Crown","N","Nursery","")</f>
        <v/>
      </c>
      <c r="G274" t="str" cm="1">
        <f t="array" ref="G274">_xlfn.SWITCH(MID(E274,7,1),"S","Sedang","K","Kecil","B","Besar","")</f>
        <v/>
      </c>
    </row>
    <row r="275" spans="1:7" x14ac:dyDescent="0.3">
      <c r="A275" s="1" t="s">
        <v>274</v>
      </c>
      <c r="B275" s="1" t="s">
        <v>752</v>
      </c>
      <c r="C275" s="2">
        <v>6.16</v>
      </c>
      <c r="D275" s="1" t="s">
        <v>717</v>
      </c>
      <c r="E275" s="1" t="s">
        <v>707</v>
      </c>
      <c r="F275" t="str" cm="1">
        <f t="array" ref="F275">_xlfn.SWITCH(MID(E275,6,1),"S","Sucker","C","Crown","N","Nursery","")</f>
        <v>Sucker</v>
      </c>
      <c r="G275" t="str" cm="1">
        <f t="array" ref="G275">_xlfn.SWITCH(MID(E275,7,1),"S","Sedang","K","Kecil","B","Besar","")</f>
        <v>Sedang</v>
      </c>
    </row>
    <row r="276" spans="1:7" x14ac:dyDescent="0.3">
      <c r="A276" s="1" t="s">
        <v>275</v>
      </c>
      <c r="B276" s="1" t="s">
        <v>765</v>
      </c>
      <c r="C276" s="2">
        <v>14.78</v>
      </c>
      <c r="D276" s="1" t="s">
        <v>780</v>
      </c>
      <c r="E276" s="1" t="s">
        <v>710</v>
      </c>
      <c r="F276" t="str" cm="1">
        <f t="array" ref="F276">_xlfn.SWITCH(MID(E276,6,1),"S","Sucker","C","Crown","N","Nursery","")</f>
        <v/>
      </c>
      <c r="G276" t="str" cm="1">
        <f t="array" ref="G276">_xlfn.SWITCH(MID(E276,7,1),"S","Sedang","K","Kecil","B","Besar","")</f>
        <v/>
      </c>
    </row>
    <row r="277" spans="1:7" x14ac:dyDescent="0.3">
      <c r="A277" s="1" t="s">
        <v>276</v>
      </c>
      <c r="B277" s="1" t="s">
        <v>752</v>
      </c>
      <c r="C277" s="2">
        <v>5.89</v>
      </c>
      <c r="D277" s="1" t="s">
        <v>723</v>
      </c>
      <c r="E277" s="1" t="s">
        <v>710</v>
      </c>
      <c r="F277" t="str" cm="1">
        <f t="array" ref="F277">_xlfn.SWITCH(MID(E277,6,1),"S","Sucker","C","Crown","N","Nursery","")</f>
        <v/>
      </c>
      <c r="G277" t="str" cm="1">
        <f t="array" ref="G277">_xlfn.SWITCH(MID(E277,7,1),"S","Sedang","K","Kecil","B","Besar","")</f>
        <v/>
      </c>
    </row>
    <row r="278" spans="1:7" x14ac:dyDescent="0.3">
      <c r="A278" s="1" t="s">
        <v>277</v>
      </c>
      <c r="B278" s="1" t="s">
        <v>752</v>
      </c>
      <c r="C278" s="2">
        <v>8.93</v>
      </c>
      <c r="D278" s="1" t="s">
        <v>745</v>
      </c>
      <c r="E278" s="1" t="s">
        <v>710</v>
      </c>
      <c r="F278" t="str" cm="1">
        <f t="array" ref="F278">_xlfn.SWITCH(MID(E278,6,1),"S","Sucker","C","Crown","N","Nursery","")</f>
        <v/>
      </c>
      <c r="G278" t="str" cm="1">
        <f t="array" ref="G278">_xlfn.SWITCH(MID(E278,7,1),"S","Sedang","K","Kecil","B","Besar","")</f>
        <v/>
      </c>
    </row>
    <row r="279" spans="1:7" x14ac:dyDescent="0.3">
      <c r="A279" s="1" t="s">
        <v>278</v>
      </c>
      <c r="B279" s="1" t="s">
        <v>752</v>
      </c>
      <c r="C279" s="2">
        <v>7.65</v>
      </c>
      <c r="D279" s="1" t="s">
        <v>717</v>
      </c>
      <c r="E279" s="1" t="s">
        <v>711</v>
      </c>
      <c r="F279" t="str" cm="1">
        <f t="array" ref="F279">_xlfn.SWITCH(MID(E279,6,1),"S","Sucker","C","Crown","N","Nursery","")</f>
        <v>Crown</v>
      </c>
      <c r="G279" t="str" cm="1">
        <f t="array" ref="G279">_xlfn.SWITCH(MID(E279,7,1),"S","Sedang","K","Kecil","B","Besar","")</f>
        <v>Kecil</v>
      </c>
    </row>
    <row r="280" spans="1:7" x14ac:dyDescent="0.3">
      <c r="A280" s="1" t="s">
        <v>279</v>
      </c>
      <c r="B280" s="1" t="s">
        <v>752</v>
      </c>
      <c r="C280" s="2">
        <v>6.15</v>
      </c>
      <c r="D280" s="1" t="s">
        <v>708</v>
      </c>
      <c r="E280" s="1" t="s">
        <v>711</v>
      </c>
      <c r="F280" t="str" cm="1">
        <f t="array" ref="F280">_xlfn.SWITCH(MID(E280,6,1),"S","Sucker","C","Crown","N","Nursery","")</f>
        <v>Crown</v>
      </c>
      <c r="G280" t="str" cm="1">
        <f t="array" ref="G280">_xlfn.SWITCH(MID(E280,7,1),"S","Sedang","K","Kecil","B","Besar","")</f>
        <v>Kecil</v>
      </c>
    </row>
    <row r="281" spans="1:7" x14ac:dyDescent="0.3">
      <c r="A281" s="1" t="s">
        <v>280</v>
      </c>
      <c r="B281" s="1" t="s">
        <v>752</v>
      </c>
      <c r="C281" s="2">
        <v>9.42</v>
      </c>
      <c r="D281" s="1" t="s">
        <v>720</v>
      </c>
      <c r="E281" s="1" t="s">
        <v>736</v>
      </c>
      <c r="F281" t="str" cm="1">
        <f t="array" ref="F281">_xlfn.SWITCH(MID(E281,6,1),"S","Sucker","C","Crown","N","Nursery","")</f>
        <v>Crown</v>
      </c>
      <c r="G281" t="str" cm="1">
        <f t="array" ref="G281">_xlfn.SWITCH(MID(E281,7,1),"S","Sedang","K","Kecil","B","Besar","")</f>
        <v/>
      </c>
    </row>
    <row r="282" spans="1:7" x14ac:dyDescent="0.3">
      <c r="A282" s="1" t="s">
        <v>281</v>
      </c>
      <c r="B282" s="1" t="s">
        <v>752</v>
      </c>
      <c r="C282" s="2">
        <v>4.49</v>
      </c>
      <c r="D282" s="1" t="s">
        <v>724</v>
      </c>
      <c r="E282" s="1" t="s">
        <v>711</v>
      </c>
      <c r="F282" t="str" cm="1">
        <f t="array" ref="F282">_xlfn.SWITCH(MID(E282,6,1),"S","Sucker","C","Crown","N","Nursery","")</f>
        <v>Crown</v>
      </c>
      <c r="G282" t="str" cm="1">
        <f t="array" ref="G282">_xlfn.SWITCH(MID(E282,7,1),"S","Sedang","K","Kecil","B","Besar","")</f>
        <v>Kecil</v>
      </c>
    </row>
    <row r="283" spans="1:7" x14ac:dyDescent="0.3">
      <c r="A283" s="1" t="s">
        <v>282</v>
      </c>
      <c r="B283" s="1" t="s">
        <v>752</v>
      </c>
      <c r="C283" s="2">
        <v>7.95</v>
      </c>
      <c r="D283" s="1" t="s">
        <v>720</v>
      </c>
      <c r="E283" s="1" t="s">
        <v>707</v>
      </c>
      <c r="F283" t="str" cm="1">
        <f t="array" ref="F283">_xlfn.SWITCH(MID(E283,6,1),"S","Sucker","C","Crown","N","Nursery","")</f>
        <v>Sucker</v>
      </c>
      <c r="G283" t="str" cm="1">
        <f t="array" ref="G283">_xlfn.SWITCH(MID(E283,7,1),"S","Sedang","K","Kecil","B","Besar","")</f>
        <v>Sedang</v>
      </c>
    </row>
    <row r="284" spans="1:7" x14ac:dyDescent="0.3">
      <c r="A284" s="1" t="s">
        <v>283</v>
      </c>
      <c r="B284" s="1" t="s">
        <v>765</v>
      </c>
      <c r="C284" s="2">
        <v>4.3099999999999996</v>
      </c>
      <c r="D284" s="1" t="s">
        <v>781</v>
      </c>
      <c r="E284" s="1" t="s">
        <v>710</v>
      </c>
      <c r="F284" t="str" cm="1">
        <f t="array" ref="F284">_xlfn.SWITCH(MID(E284,6,1),"S","Sucker","C","Crown","N","Nursery","")</f>
        <v/>
      </c>
      <c r="G284" t="str" cm="1">
        <f t="array" ref="G284">_xlfn.SWITCH(MID(E284,7,1),"S","Sedang","K","Kecil","B","Besar","")</f>
        <v/>
      </c>
    </row>
    <row r="285" spans="1:7" x14ac:dyDescent="0.3">
      <c r="A285" s="1" t="s">
        <v>284</v>
      </c>
      <c r="B285" s="1" t="s">
        <v>765</v>
      </c>
      <c r="C285" s="2">
        <v>11.41</v>
      </c>
      <c r="D285" s="1" t="s">
        <v>781</v>
      </c>
      <c r="E285" s="1" t="s">
        <v>710</v>
      </c>
      <c r="F285" t="str" cm="1">
        <f t="array" ref="F285">_xlfn.SWITCH(MID(E285,6,1),"S","Sucker","C","Crown","N","Nursery","")</f>
        <v/>
      </c>
      <c r="G285" t="str" cm="1">
        <f t="array" ref="G285">_xlfn.SWITCH(MID(E285,7,1),"S","Sedang","K","Kecil","B","Besar","")</f>
        <v/>
      </c>
    </row>
    <row r="286" spans="1:7" x14ac:dyDescent="0.3">
      <c r="A286" s="1" t="s">
        <v>285</v>
      </c>
      <c r="B286" s="1" t="s">
        <v>765</v>
      </c>
      <c r="C286" s="2">
        <v>17.25</v>
      </c>
      <c r="D286" s="1" t="s">
        <v>781</v>
      </c>
      <c r="E286" s="1" t="s">
        <v>710</v>
      </c>
      <c r="F286" t="str" cm="1">
        <f t="array" ref="F286">_xlfn.SWITCH(MID(E286,6,1),"S","Sucker","C","Crown","N","Nursery","")</f>
        <v/>
      </c>
      <c r="G286" t="str" cm="1">
        <f t="array" ref="G286">_xlfn.SWITCH(MID(E286,7,1),"S","Sedang","K","Kecil","B","Besar","")</f>
        <v/>
      </c>
    </row>
    <row r="287" spans="1:7" x14ac:dyDescent="0.3">
      <c r="A287" s="1" t="s">
        <v>286</v>
      </c>
      <c r="B287" s="1" t="s">
        <v>765</v>
      </c>
      <c r="C287" s="2">
        <v>14.64</v>
      </c>
      <c r="D287" s="1" t="s">
        <v>782</v>
      </c>
      <c r="E287" s="1" t="s">
        <v>710</v>
      </c>
      <c r="F287" t="str" cm="1">
        <f t="array" ref="F287">_xlfn.SWITCH(MID(E287,6,1),"S","Sucker","C","Crown","N","Nursery","")</f>
        <v/>
      </c>
      <c r="G287" t="str" cm="1">
        <f t="array" ref="G287">_xlfn.SWITCH(MID(E287,7,1),"S","Sedang","K","Kecil","B","Besar","")</f>
        <v/>
      </c>
    </row>
    <row r="288" spans="1:7" x14ac:dyDescent="0.3">
      <c r="A288" s="1" t="s">
        <v>287</v>
      </c>
      <c r="B288" s="1" t="s">
        <v>765</v>
      </c>
      <c r="C288" s="2">
        <v>14.67</v>
      </c>
      <c r="D288" s="1" t="s">
        <v>783</v>
      </c>
      <c r="E288" s="1" t="s">
        <v>710</v>
      </c>
      <c r="F288" t="str" cm="1">
        <f t="array" ref="F288">_xlfn.SWITCH(MID(E288,6,1),"S","Sucker","C","Crown","N","Nursery","")</f>
        <v/>
      </c>
      <c r="G288" t="str" cm="1">
        <f t="array" ref="G288">_xlfn.SWITCH(MID(E288,7,1),"S","Sedang","K","Kecil","B","Besar","")</f>
        <v/>
      </c>
    </row>
    <row r="289" spans="1:7" x14ac:dyDescent="0.3">
      <c r="A289" s="1" t="s">
        <v>288</v>
      </c>
      <c r="B289" s="1" t="s">
        <v>752</v>
      </c>
      <c r="C289" s="2">
        <v>7.48</v>
      </c>
      <c r="D289" s="1" t="s">
        <v>751</v>
      </c>
      <c r="E289" s="1" t="s">
        <v>711</v>
      </c>
      <c r="F289" t="str" cm="1">
        <f t="array" ref="F289">_xlfn.SWITCH(MID(E289,6,1),"S","Sucker","C","Crown","N","Nursery","")</f>
        <v>Crown</v>
      </c>
      <c r="G289" t="str" cm="1">
        <f t="array" ref="G289">_xlfn.SWITCH(MID(E289,7,1),"S","Sedang","K","Kecil","B","Besar","")</f>
        <v>Kecil</v>
      </c>
    </row>
    <row r="290" spans="1:7" x14ac:dyDescent="0.3">
      <c r="A290" s="1" t="s">
        <v>289</v>
      </c>
      <c r="B290" s="1" t="s">
        <v>752</v>
      </c>
      <c r="C290" s="2">
        <v>6.16</v>
      </c>
      <c r="D290" s="1" t="s">
        <v>723</v>
      </c>
      <c r="E290" s="1" t="s">
        <v>710</v>
      </c>
      <c r="F290" t="str" cm="1">
        <f t="array" ref="F290">_xlfn.SWITCH(MID(E290,6,1),"S","Sucker","C","Crown","N","Nursery","")</f>
        <v/>
      </c>
      <c r="G290" t="str" cm="1">
        <f t="array" ref="G290">_xlfn.SWITCH(MID(E290,7,1),"S","Sedang","K","Kecil","B","Besar","")</f>
        <v/>
      </c>
    </row>
    <row r="291" spans="1:7" x14ac:dyDescent="0.3">
      <c r="A291" s="1" t="s">
        <v>290</v>
      </c>
      <c r="B291" s="1" t="s">
        <v>752</v>
      </c>
      <c r="C291" s="2">
        <v>8.65</v>
      </c>
      <c r="D291" s="1" t="s">
        <v>754</v>
      </c>
      <c r="E291" s="1" t="s">
        <v>707</v>
      </c>
      <c r="F291" t="str" cm="1">
        <f t="array" ref="F291">_xlfn.SWITCH(MID(E291,6,1),"S","Sucker","C","Crown","N","Nursery","")</f>
        <v>Sucker</v>
      </c>
      <c r="G291" t="str" cm="1">
        <f t="array" ref="G291">_xlfn.SWITCH(MID(E291,7,1),"S","Sedang","K","Kecil","B","Besar","")</f>
        <v>Sedang</v>
      </c>
    </row>
    <row r="292" spans="1:7" x14ac:dyDescent="0.3">
      <c r="A292" s="1" t="s">
        <v>291</v>
      </c>
      <c r="B292" s="1" t="s">
        <v>752</v>
      </c>
      <c r="C292" s="2">
        <v>7.27</v>
      </c>
      <c r="D292" s="1" t="s">
        <v>720</v>
      </c>
      <c r="E292" s="1" t="s">
        <v>711</v>
      </c>
      <c r="F292" t="str" cm="1">
        <f t="array" ref="F292">_xlfn.SWITCH(MID(E292,6,1),"S","Sucker","C","Crown","N","Nursery","")</f>
        <v>Crown</v>
      </c>
      <c r="G292" t="str" cm="1">
        <f t="array" ref="G292">_xlfn.SWITCH(MID(E292,7,1),"S","Sedang","K","Kecil","B","Besar","")</f>
        <v>Kecil</v>
      </c>
    </row>
    <row r="293" spans="1:7" x14ac:dyDescent="0.3">
      <c r="A293" s="1" t="s">
        <v>292</v>
      </c>
      <c r="B293" s="1" t="s">
        <v>784</v>
      </c>
      <c r="C293" s="2">
        <v>2.86</v>
      </c>
      <c r="D293" s="1" t="s">
        <v>706</v>
      </c>
      <c r="E293" s="1" t="s">
        <v>711</v>
      </c>
      <c r="F293" t="str" cm="1">
        <f t="array" ref="F293">_xlfn.SWITCH(MID(E293,6,1),"S","Sucker","C","Crown","N","Nursery","")</f>
        <v>Crown</v>
      </c>
      <c r="G293" t="str" cm="1">
        <f t="array" ref="G293">_xlfn.SWITCH(MID(E293,7,1),"S","Sedang","K","Kecil","B","Besar","")</f>
        <v>Kecil</v>
      </c>
    </row>
    <row r="294" spans="1:7" x14ac:dyDescent="0.3">
      <c r="A294" s="1" t="s">
        <v>293</v>
      </c>
      <c r="B294" s="1" t="s">
        <v>765</v>
      </c>
      <c r="C294" s="2">
        <v>10.6</v>
      </c>
      <c r="D294" s="1" t="s">
        <v>766</v>
      </c>
      <c r="E294" s="1" t="s">
        <v>710</v>
      </c>
      <c r="F294" t="str" cm="1">
        <f t="array" ref="F294">_xlfn.SWITCH(MID(E294,6,1),"S","Sucker","C","Crown","N","Nursery","")</f>
        <v/>
      </c>
      <c r="G294" t="str" cm="1">
        <f t="array" ref="G294">_xlfn.SWITCH(MID(E294,7,1),"S","Sedang","K","Kecil","B","Besar","")</f>
        <v/>
      </c>
    </row>
    <row r="295" spans="1:7" x14ac:dyDescent="0.3">
      <c r="A295" s="1" t="s">
        <v>294</v>
      </c>
      <c r="B295" s="1" t="s">
        <v>765</v>
      </c>
      <c r="C295" s="2">
        <v>7.62</v>
      </c>
      <c r="D295" s="1" t="s">
        <v>766</v>
      </c>
      <c r="E295" s="1" t="s">
        <v>710</v>
      </c>
      <c r="F295" t="str" cm="1">
        <f t="array" ref="F295">_xlfn.SWITCH(MID(E295,6,1),"S","Sucker","C","Crown","N","Nursery","")</f>
        <v/>
      </c>
      <c r="G295" t="str" cm="1">
        <f t="array" ref="G295">_xlfn.SWITCH(MID(E295,7,1),"S","Sedang","K","Kecil","B","Besar","")</f>
        <v/>
      </c>
    </row>
    <row r="296" spans="1:7" x14ac:dyDescent="0.3">
      <c r="A296" s="1" t="s">
        <v>295</v>
      </c>
      <c r="B296" s="1" t="s">
        <v>765</v>
      </c>
      <c r="C296" s="2">
        <v>4.7</v>
      </c>
      <c r="D296" s="1" t="s">
        <v>766</v>
      </c>
      <c r="E296" s="1" t="s">
        <v>710</v>
      </c>
      <c r="F296" t="str" cm="1">
        <f t="array" ref="F296">_xlfn.SWITCH(MID(E296,6,1),"S","Sucker","C","Crown","N","Nursery","")</f>
        <v/>
      </c>
      <c r="G296" t="str" cm="1">
        <f t="array" ref="G296">_xlfn.SWITCH(MID(E296,7,1),"S","Sedang","K","Kecil","B","Besar","")</f>
        <v/>
      </c>
    </row>
    <row r="297" spans="1:7" x14ac:dyDescent="0.3">
      <c r="A297" s="1" t="s">
        <v>296</v>
      </c>
      <c r="B297" s="1" t="s">
        <v>765</v>
      </c>
      <c r="C297" s="2">
        <v>4.63</v>
      </c>
      <c r="D297" s="1" t="s">
        <v>766</v>
      </c>
      <c r="E297" s="1" t="s">
        <v>710</v>
      </c>
      <c r="F297" t="str" cm="1">
        <f t="array" ref="F297">_xlfn.SWITCH(MID(E297,6,1),"S","Sucker","C","Crown","N","Nursery","")</f>
        <v/>
      </c>
      <c r="G297" t="str" cm="1">
        <f t="array" ref="G297">_xlfn.SWITCH(MID(E297,7,1),"S","Sedang","K","Kecil","B","Besar","")</f>
        <v/>
      </c>
    </row>
    <row r="298" spans="1:7" x14ac:dyDescent="0.3">
      <c r="A298" s="1" t="s">
        <v>297</v>
      </c>
      <c r="B298" s="1" t="s">
        <v>784</v>
      </c>
      <c r="C298" s="2">
        <v>7.83</v>
      </c>
      <c r="D298" s="1" t="s">
        <v>714</v>
      </c>
      <c r="E298" s="1" t="s">
        <v>711</v>
      </c>
      <c r="F298" t="str" cm="1">
        <f t="array" ref="F298">_xlfn.SWITCH(MID(E298,6,1),"S","Sucker","C","Crown","N","Nursery","")</f>
        <v>Crown</v>
      </c>
      <c r="G298" t="str" cm="1">
        <f t="array" ref="G298">_xlfn.SWITCH(MID(E298,7,1),"S","Sedang","K","Kecil","B","Besar","")</f>
        <v>Kecil</v>
      </c>
    </row>
    <row r="299" spans="1:7" x14ac:dyDescent="0.3">
      <c r="A299" s="1" t="s">
        <v>298</v>
      </c>
      <c r="B299" s="1" t="s">
        <v>784</v>
      </c>
      <c r="C299" s="2">
        <v>8.2899999999999991</v>
      </c>
      <c r="D299" s="1" t="s">
        <v>714</v>
      </c>
      <c r="E299" s="1" t="s">
        <v>711</v>
      </c>
      <c r="F299" t="str" cm="1">
        <f t="array" ref="F299">_xlfn.SWITCH(MID(E299,6,1),"S","Sucker","C","Crown","N","Nursery","")</f>
        <v>Crown</v>
      </c>
      <c r="G299" t="str" cm="1">
        <f t="array" ref="G299">_xlfn.SWITCH(MID(E299,7,1),"S","Sedang","K","Kecil","B","Besar","")</f>
        <v>Kecil</v>
      </c>
    </row>
    <row r="300" spans="1:7" x14ac:dyDescent="0.3">
      <c r="A300" s="1" t="s">
        <v>299</v>
      </c>
      <c r="B300" s="1" t="s">
        <v>784</v>
      </c>
      <c r="C300" s="2">
        <v>11.18</v>
      </c>
      <c r="D300" s="1" t="s">
        <v>719</v>
      </c>
      <c r="E300" s="1" t="s">
        <v>711</v>
      </c>
      <c r="F300" t="str" cm="1">
        <f t="array" ref="F300">_xlfn.SWITCH(MID(E300,6,1),"S","Sucker","C","Crown","N","Nursery","")</f>
        <v>Crown</v>
      </c>
      <c r="G300" t="str" cm="1">
        <f t="array" ref="G300">_xlfn.SWITCH(MID(E300,7,1),"S","Sedang","K","Kecil","B","Besar","")</f>
        <v>Kecil</v>
      </c>
    </row>
    <row r="301" spans="1:7" x14ac:dyDescent="0.3">
      <c r="A301" s="1" t="s">
        <v>300</v>
      </c>
      <c r="B301" s="1" t="s">
        <v>747</v>
      </c>
      <c r="C301" s="2">
        <v>6.61</v>
      </c>
      <c r="D301" s="1" t="s">
        <v>724</v>
      </c>
      <c r="E301" s="1" t="s">
        <v>711</v>
      </c>
      <c r="F301" t="str" cm="1">
        <f t="array" ref="F301">_xlfn.SWITCH(MID(E301,6,1),"S","Sucker","C","Crown","N","Nursery","")</f>
        <v>Crown</v>
      </c>
      <c r="G301" t="str" cm="1">
        <f t="array" ref="G301">_xlfn.SWITCH(MID(E301,7,1),"S","Sedang","K","Kecil","B","Besar","")</f>
        <v>Kecil</v>
      </c>
    </row>
    <row r="302" spans="1:7" x14ac:dyDescent="0.3">
      <c r="A302" s="1" t="s">
        <v>301</v>
      </c>
      <c r="B302" s="1" t="s">
        <v>747</v>
      </c>
      <c r="C302" s="2">
        <v>6.43</v>
      </c>
      <c r="D302" s="1" t="s">
        <v>706</v>
      </c>
      <c r="E302" s="1" t="s">
        <v>711</v>
      </c>
      <c r="F302" t="str" cm="1">
        <f t="array" ref="F302">_xlfn.SWITCH(MID(E302,6,1),"S","Sucker","C","Crown","N","Nursery","")</f>
        <v>Crown</v>
      </c>
      <c r="G302" t="str" cm="1">
        <f t="array" ref="G302">_xlfn.SWITCH(MID(E302,7,1),"S","Sedang","K","Kecil","B","Besar","")</f>
        <v>Kecil</v>
      </c>
    </row>
    <row r="303" spans="1:7" x14ac:dyDescent="0.3">
      <c r="A303" s="1" t="s">
        <v>302</v>
      </c>
      <c r="B303" s="1" t="s">
        <v>784</v>
      </c>
      <c r="C303" s="2">
        <v>1.26</v>
      </c>
      <c r="D303" s="1" t="s">
        <v>785</v>
      </c>
      <c r="E303" s="1" t="s">
        <v>710</v>
      </c>
      <c r="F303" t="str" cm="1">
        <f t="array" ref="F303">_xlfn.SWITCH(MID(E303,6,1),"S","Sucker","C","Crown","N","Nursery","")</f>
        <v/>
      </c>
      <c r="G303" t="str" cm="1">
        <f t="array" ref="G303">_xlfn.SWITCH(MID(E303,7,1),"S","Sedang","K","Kecil","B","Besar","")</f>
        <v/>
      </c>
    </row>
    <row r="304" spans="1:7" x14ac:dyDescent="0.3">
      <c r="A304" s="1" t="s">
        <v>303</v>
      </c>
      <c r="B304" s="1" t="s">
        <v>784</v>
      </c>
      <c r="C304" s="2">
        <v>4.49</v>
      </c>
      <c r="D304" s="1" t="s">
        <v>785</v>
      </c>
      <c r="E304" s="1" t="s">
        <v>710</v>
      </c>
      <c r="F304" t="str" cm="1">
        <f t="array" ref="F304">_xlfn.SWITCH(MID(E304,6,1),"S","Sucker","C","Crown","N","Nursery","")</f>
        <v/>
      </c>
      <c r="G304" t="str" cm="1">
        <f t="array" ref="G304">_xlfn.SWITCH(MID(E304,7,1),"S","Sedang","K","Kecil","B","Besar","")</f>
        <v/>
      </c>
    </row>
    <row r="305" spans="1:7" x14ac:dyDescent="0.3">
      <c r="A305" s="1" t="s">
        <v>304</v>
      </c>
      <c r="B305" s="1" t="s">
        <v>784</v>
      </c>
      <c r="C305" s="2">
        <v>4.45</v>
      </c>
      <c r="D305" s="1" t="s">
        <v>785</v>
      </c>
      <c r="E305" s="1" t="s">
        <v>710</v>
      </c>
      <c r="F305" t="str" cm="1">
        <f t="array" ref="F305">_xlfn.SWITCH(MID(E305,6,1),"S","Sucker","C","Crown","N","Nursery","")</f>
        <v/>
      </c>
      <c r="G305" t="str" cm="1">
        <f t="array" ref="G305">_xlfn.SWITCH(MID(E305,7,1),"S","Sedang","K","Kecil","B","Besar","")</f>
        <v/>
      </c>
    </row>
    <row r="306" spans="1:7" x14ac:dyDescent="0.3">
      <c r="A306" s="1" t="s">
        <v>305</v>
      </c>
      <c r="B306" s="1" t="s">
        <v>784</v>
      </c>
      <c r="C306" s="2">
        <v>1.76</v>
      </c>
      <c r="D306" s="1" t="s">
        <v>785</v>
      </c>
      <c r="E306" s="1" t="s">
        <v>710</v>
      </c>
      <c r="F306" t="str" cm="1">
        <f t="array" ref="F306">_xlfn.SWITCH(MID(E306,6,1),"S","Sucker","C","Crown","N","Nursery","")</f>
        <v/>
      </c>
      <c r="G306" t="str" cm="1">
        <f t="array" ref="G306">_xlfn.SWITCH(MID(E306,7,1),"S","Sedang","K","Kecil","B","Besar","")</f>
        <v/>
      </c>
    </row>
    <row r="307" spans="1:7" x14ac:dyDescent="0.3">
      <c r="A307" s="1" t="s">
        <v>306</v>
      </c>
      <c r="B307" s="1" t="s">
        <v>784</v>
      </c>
      <c r="C307" s="2">
        <v>7.79</v>
      </c>
      <c r="D307" s="1" t="s">
        <v>714</v>
      </c>
      <c r="E307" s="1" t="s">
        <v>711</v>
      </c>
      <c r="F307" t="str" cm="1">
        <f t="array" ref="F307">_xlfn.SWITCH(MID(E307,6,1),"S","Sucker","C","Crown","N","Nursery","")</f>
        <v>Crown</v>
      </c>
      <c r="G307" t="str" cm="1">
        <f t="array" ref="G307">_xlfn.SWITCH(MID(E307,7,1),"S","Sedang","K","Kecil","B","Besar","")</f>
        <v>Kecil</v>
      </c>
    </row>
    <row r="308" spans="1:7" x14ac:dyDescent="0.3">
      <c r="A308" s="1" t="s">
        <v>307</v>
      </c>
      <c r="B308" s="1" t="s">
        <v>784</v>
      </c>
      <c r="C308" s="2">
        <v>10.29</v>
      </c>
      <c r="D308" s="1" t="s">
        <v>706</v>
      </c>
      <c r="E308" s="1" t="s">
        <v>711</v>
      </c>
      <c r="F308" t="str" cm="1">
        <f t="array" ref="F308">_xlfn.SWITCH(MID(E308,6,1),"S","Sucker","C","Crown","N","Nursery","")</f>
        <v>Crown</v>
      </c>
      <c r="G308" t="str" cm="1">
        <f t="array" ref="G308">_xlfn.SWITCH(MID(E308,7,1),"S","Sedang","K","Kecil","B","Besar","")</f>
        <v>Kecil</v>
      </c>
    </row>
    <row r="309" spans="1:7" x14ac:dyDescent="0.3">
      <c r="A309" s="1" t="s">
        <v>308</v>
      </c>
      <c r="B309" s="1" t="s">
        <v>784</v>
      </c>
      <c r="C309" s="2">
        <v>5.63</v>
      </c>
      <c r="D309" s="1" t="s">
        <v>786</v>
      </c>
      <c r="E309" s="1" t="s">
        <v>710</v>
      </c>
      <c r="F309" t="str" cm="1">
        <f t="array" ref="F309">_xlfn.SWITCH(MID(E309,6,1),"S","Sucker","C","Crown","N","Nursery","")</f>
        <v/>
      </c>
      <c r="G309" t="str" cm="1">
        <f t="array" ref="G309">_xlfn.SWITCH(MID(E309,7,1),"S","Sedang","K","Kecil","B","Besar","")</f>
        <v/>
      </c>
    </row>
    <row r="310" spans="1:7" x14ac:dyDescent="0.3">
      <c r="A310" s="1" t="s">
        <v>309</v>
      </c>
      <c r="B310" s="1" t="s">
        <v>784</v>
      </c>
      <c r="C310" s="2">
        <v>12.15</v>
      </c>
      <c r="D310" s="1" t="s">
        <v>731</v>
      </c>
      <c r="E310" s="1" t="s">
        <v>711</v>
      </c>
      <c r="F310" t="str" cm="1">
        <f t="array" ref="F310">_xlfn.SWITCH(MID(E310,6,1),"S","Sucker","C","Crown","N","Nursery","")</f>
        <v>Crown</v>
      </c>
      <c r="G310" t="str" cm="1">
        <f t="array" ref="G310">_xlfn.SWITCH(MID(E310,7,1),"S","Sedang","K","Kecil","B","Besar","")</f>
        <v>Kecil</v>
      </c>
    </row>
    <row r="311" spans="1:7" x14ac:dyDescent="0.3">
      <c r="A311" s="1" t="s">
        <v>310</v>
      </c>
      <c r="B311" s="1" t="s">
        <v>784</v>
      </c>
      <c r="C311" s="2">
        <v>7.84</v>
      </c>
      <c r="D311" s="1" t="s">
        <v>719</v>
      </c>
      <c r="E311" s="1" t="s">
        <v>711</v>
      </c>
      <c r="F311" t="str" cm="1">
        <f t="array" ref="F311">_xlfn.SWITCH(MID(E311,6,1),"S","Sucker","C","Crown","N","Nursery","")</f>
        <v>Crown</v>
      </c>
      <c r="G311" t="str" cm="1">
        <f t="array" ref="G311">_xlfn.SWITCH(MID(E311,7,1),"S","Sedang","K","Kecil","B","Besar","")</f>
        <v>Kecil</v>
      </c>
    </row>
    <row r="312" spans="1:7" x14ac:dyDescent="0.3">
      <c r="A312" s="1" t="s">
        <v>311</v>
      </c>
      <c r="B312" s="1" t="s">
        <v>784</v>
      </c>
      <c r="C312" s="2">
        <v>0.31</v>
      </c>
      <c r="D312" s="1" t="s">
        <v>720</v>
      </c>
      <c r="E312" s="1" t="s">
        <v>734</v>
      </c>
      <c r="F312" t="str" cm="1">
        <f t="array" ref="F312">_xlfn.SWITCH(MID(E312,6,1),"S","Sucker","C","Crown","N","Nursery","")</f>
        <v>Sucker</v>
      </c>
      <c r="G312" t="str" cm="1">
        <f t="array" ref="G312">_xlfn.SWITCH(MID(E312,7,1),"S","Sedang","K","Kecil","B","Besar","")</f>
        <v>Kecil</v>
      </c>
    </row>
    <row r="313" spans="1:7" x14ac:dyDescent="0.3">
      <c r="A313" s="1" t="s">
        <v>312</v>
      </c>
      <c r="B313" s="1" t="s">
        <v>784</v>
      </c>
      <c r="C313" s="2">
        <v>6.64</v>
      </c>
      <c r="D313" s="1" t="s">
        <v>742</v>
      </c>
      <c r="E313" s="1" t="s">
        <v>710</v>
      </c>
      <c r="F313" t="str" cm="1">
        <f t="array" ref="F313">_xlfn.SWITCH(MID(E313,6,1),"S","Sucker","C","Crown","N","Nursery","")</f>
        <v/>
      </c>
      <c r="G313" t="str" cm="1">
        <f t="array" ref="G313">_xlfn.SWITCH(MID(E313,7,1),"S","Sedang","K","Kecil","B","Besar","")</f>
        <v/>
      </c>
    </row>
    <row r="314" spans="1:7" x14ac:dyDescent="0.3">
      <c r="A314" s="1" t="s">
        <v>313</v>
      </c>
      <c r="B314" s="1" t="s">
        <v>784</v>
      </c>
      <c r="C314" s="2">
        <v>7.69</v>
      </c>
      <c r="D314" s="1" t="s">
        <v>742</v>
      </c>
      <c r="E314" s="1" t="s">
        <v>710</v>
      </c>
      <c r="F314" t="str" cm="1">
        <f t="array" ref="F314">_xlfn.SWITCH(MID(E314,6,1),"S","Sucker","C","Crown","N","Nursery","")</f>
        <v/>
      </c>
      <c r="G314" t="str" cm="1">
        <f t="array" ref="G314">_xlfn.SWITCH(MID(E314,7,1),"S","Sedang","K","Kecil","B","Besar","")</f>
        <v/>
      </c>
    </row>
    <row r="315" spans="1:7" x14ac:dyDescent="0.3">
      <c r="A315" s="1" t="s">
        <v>314</v>
      </c>
      <c r="B315" s="1" t="s">
        <v>784</v>
      </c>
      <c r="C315" s="2">
        <v>12.15</v>
      </c>
      <c r="D315" s="1" t="s">
        <v>743</v>
      </c>
      <c r="E315" s="1" t="s">
        <v>711</v>
      </c>
      <c r="F315" t="str" cm="1">
        <f t="array" ref="F315">_xlfn.SWITCH(MID(E315,6,1),"S","Sucker","C","Crown","N","Nursery","")</f>
        <v>Crown</v>
      </c>
      <c r="G315" t="str" cm="1">
        <f t="array" ref="G315">_xlfn.SWITCH(MID(E315,7,1),"S","Sedang","K","Kecil","B","Besar","")</f>
        <v>Kecil</v>
      </c>
    </row>
    <row r="316" spans="1:7" x14ac:dyDescent="0.3">
      <c r="A316" s="1" t="s">
        <v>315</v>
      </c>
      <c r="B316" s="1" t="s">
        <v>784</v>
      </c>
      <c r="C316" s="2">
        <v>7.78</v>
      </c>
      <c r="D316" s="1" t="s">
        <v>743</v>
      </c>
      <c r="E316" s="1" t="s">
        <v>711</v>
      </c>
      <c r="F316" t="str" cm="1">
        <f t="array" ref="F316">_xlfn.SWITCH(MID(E316,6,1),"S","Sucker","C","Crown","N","Nursery","")</f>
        <v>Crown</v>
      </c>
      <c r="G316" t="str" cm="1">
        <f t="array" ref="G316">_xlfn.SWITCH(MID(E316,7,1),"S","Sedang","K","Kecil","B","Besar","")</f>
        <v>Kecil</v>
      </c>
    </row>
    <row r="317" spans="1:7" x14ac:dyDescent="0.3">
      <c r="A317" s="1" t="s">
        <v>316</v>
      </c>
      <c r="B317" s="1" t="s">
        <v>784</v>
      </c>
      <c r="C317" s="2">
        <v>5.28</v>
      </c>
      <c r="D317" s="1" t="s">
        <v>716</v>
      </c>
      <c r="E317" s="1" t="s">
        <v>710</v>
      </c>
      <c r="F317" t="str" cm="1">
        <f t="array" ref="F317">_xlfn.SWITCH(MID(E317,6,1),"S","Sucker","C","Crown","N","Nursery","")</f>
        <v/>
      </c>
      <c r="G317" t="str" cm="1">
        <f t="array" ref="G317">_xlfn.SWITCH(MID(E317,7,1),"S","Sedang","K","Kecil","B","Besar","")</f>
        <v/>
      </c>
    </row>
    <row r="318" spans="1:7" x14ac:dyDescent="0.3">
      <c r="A318" s="1" t="s">
        <v>317</v>
      </c>
      <c r="B318" s="1" t="s">
        <v>784</v>
      </c>
      <c r="C318" s="2">
        <v>10.44</v>
      </c>
      <c r="D318" s="1" t="s">
        <v>723</v>
      </c>
      <c r="E318" s="1" t="s">
        <v>710</v>
      </c>
      <c r="F318" t="str" cm="1">
        <f t="array" ref="F318">_xlfn.SWITCH(MID(E318,6,1),"S","Sucker","C","Crown","N","Nursery","")</f>
        <v/>
      </c>
      <c r="G318" t="str" cm="1">
        <f t="array" ref="G318">_xlfn.SWITCH(MID(E318,7,1),"S","Sedang","K","Kecil","B","Besar","")</f>
        <v/>
      </c>
    </row>
    <row r="319" spans="1:7" x14ac:dyDescent="0.3">
      <c r="A319" s="1" t="s">
        <v>318</v>
      </c>
      <c r="B319" s="1" t="s">
        <v>784</v>
      </c>
      <c r="C319" s="2">
        <v>7.2</v>
      </c>
      <c r="D319" s="1" t="s">
        <v>713</v>
      </c>
      <c r="E319" s="1" t="s">
        <v>710</v>
      </c>
      <c r="F319" t="str" cm="1">
        <f t="array" ref="F319">_xlfn.SWITCH(MID(E319,6,1),"S","Sucker","C","Crown","N","Nursery","")</f>
        <v/>
      </c>
      <c r="G319" t="str" cm="1">
        <f t="array" ref="G319">_xlfn.SWITCH(MID(E319,7,1),"S","Sedang","K","Kecil","B","Besar","")</f>
        <v/>
      </c>
    </row>
    <row r="320" spans="1:7" x14ac:dyDescent="0.3">
      <c r="A320" s="1" t="s">
        <v>319</v>
      </c>
      <c r="B320" s="1" t="s">
        <v>784</v>
      </c>
      <c r="C320" s="2">
        <v>9.3000000000000007</v>
      </c>
      <c r="D320" s="1" t="s">
        <v>713</v>
      </c>
      <c r="E320" s="1" t="s">
        <v>710</v>
      </c>
      <c r="F320" t="str" cm="1">
        <f t="array" ref="F320">_xlfn.SWITCH(MID(E320,6,1),"S","Sucker","C","Crown","N","Nursery","")</f>
        <v/>
      </c>
      <c r="G320" t="str" cm="1">
        <f t="array" ref="G320">_xlfn.SWITCH(MID(E320,7,1),"S","Sedang","K","Kecil","B","Besar","")</f>
        <v/>
      </c>
    </row>
    <row r="321" spans="1:7" x14ac:dyDescent="0.3">
      <c r="A321" s="1" t="s">
        <v>320</v>
      </c>
      <c r="B321" s="1" t="s">
        <v>784</v>
      </c>
      <c r="C321" s="2">
        <v>10.34</v>
      </c>
      <c r="D321" s="1" t="s">
        <v>730</v>
      </c>
      <c r="E321" s="1" t="s">
        <v>710</v>
      </c>
      <c r="F321" t="str" cm="1">
        <f t="array" ref="F321">_xlfn.SWITCH(MID(E321,6,1),"S","Sucker","C","Crown","N","Nursery","")</f>
        <v/>
      </c>
      <c r="G321" t="str" cm="1">
        <f t="array" ref="G321">_xlfn.SWITCH(MID(E321,7,1),"S","Sedang","K","Kecil","B","Besar","")</f>
        <v/>
      </c>
    </row>
    <row r="322" spans="1:7" x14ac:dyDescent="0.3">
      <c r="A322" s="1" t="s">
        <v>321</v>
      </c>
      <c r="B322" s="1" t="s">
        <v>784</v>
      </c>
      <c r="C322" s="2">
        <v>5.21</v>
      </c>
      <c r="D322" s="1" t="s">
        <v>725</v>
      </c>
      <c r="E322" s="1" t="s">
        <v>710</v>
      </c>
      <c r="F322" t="str" cm="1">
        <f t="array" ref="F322">_xlfn.SWITCH(MID(E322,6,1),"S","Sucker","C","Crown","N","Nursery","")</f>
        <v/>
      </c>
      <c r="G322" t="str" cm="1">
        <f t="array" ref="G322">_xlfn.SWITCH(MID(E322,7,1),"S","Sedang","K","Kecil","B","Besar","")</f>
        <v/>
      </c>
    </row>
    <row r="323" spans="1:7" x14ac:dyDescent="0.3">
      <c r="A323" s="1" t="s">
        <v>322</v>
      </c>
      <c r="B323" s="1" t="s">
        <v>784</v>
      </c>
      <c r="C323" s="2">
        <v>7.07</v>
      </c>
      <c r="D323" s="1" t="s">
        <v>759</v>
      </c>
      <c r="E323" s="1" t="s">
        <v>710</v>
      </c>
      <c r="F323" t="str" cm="1">
        <f t="array" ref="F323">_xlfn.SWITCH(MID(E323,6,1),"S","Sucker","C","Crown","N","Nursery","")</f>
        <v/>
      </c>
      <c r="G323" t="str" cm="1">
        <f t="array" ref="G323">_xlfn.SWITCH(MID(E323,7,1),"S","Sedang","K","Kecil","B","Besar","")</f>
        <v/>
      </c>
    </row>
    <row r="324" spans="1:7" x14ac:dyDescent="0.3">
      <c r="A324" s="1" t="s">
        <v>323</v>
      </c>
      <c r="B324" s="1" t="s">
        <v>784</v>
      </c>
      <c r="C324" s="2">
        <v>6.34</v>
      </c>
      <c r="D324" s="1" t="s">
        <v>714</v>
      </c>
      <c r="E324" s="1" t="s">
        <v>711</v>
      </c>
      <c r="F324" t="str" cm="1">
        <f t="array" ref="F324">_xlfn.SWITCH(MID(E324,6,1),"S","Sucker","C","Crown","N","Nursery","")</f>
        <v>Crown</v>
      </c>
      <c r="G324" t="str" cm="1">
        <f t="array" ref="G324">_xlfn.SWITCH(MID(E324,7,1),"S","Sedang","K","Kecil","B","Besar","")</f>
        <v>Kecil</v>
      </c>
    </row>
    <row r="325" spans="1:7" x14ac:dyDescent="0.3">
      <c r="A325" s="1" t="s">
        <v>324</v>
      </c>
      <c r="B325" s="1" t="s">
        <v>784</v>
      </c>
      <c r="C325" s="2">
        <v>6.63</v>
      </c>
      <c r="D325" s="1" t="s">
        <v>730</v>
      </c>
      <c r="E325" s="1" t="s">
        <v>710</v>
      </c>
      <c r="F325" t="str" cm="1">
        <f t="array" ref="F325">_xlfn.SWITCH(MID(E325,6,1),"S","Sucker","C","Crown","N","Nursery","")</f>
        <v/>
      </c>
      <c r="G325" t="str" cm="1">
        <f t="array" ref="G325">_xlfn.SWITCH(MID(E325,7,1),"S","Sedang","K","Kecil","B","Besar","")</f>
        <v/>
      </c>
    </row>
    <row r="326" spans="1:7" x14ac:dyDescent="0.3">
      <c r="A326" s="1" t="s">
        <v>325</v>
      </c>
      <c r="B326" s="1" t="s">
        <v>784</v>
      </c>
      <c r="C326" s="2">
        <v>8.75</v>
      </c>
      <c r="D326" s="1" t="s">
        <v>723</v>
      </c>
      <c r="E326" s="1" t="s">
        <v>710</v>
      </c>
      <c r="F326" t="str" cm="1">
        <f t="array" ref="F326">_xlfn.SWITCH(MID(E326,6,1),"S","Sucker","C","Crown","N","Nursery","")</f>
        <v/>
      </c>
      <c r="G326" t="str" cm="1">
        <f t="array" ref="G326">_xlfn.SWITCH(MID(E326,7,1),"S","Sedang","K","Kecil","B","Besar","")</f>
        <v/>
      </c>
    </row>
    <row r="327" spans="1:7" x14ac:dyDescent="0.3">
      <c r="A327" s="1" t="s">
        <v>326</v>
      </c>
      <c r="B327" s="1" t="s">
        <v>752</v>
      </c>
      <c r="C327" s="2">
        <v>9.4</v>
      </c>
      <c r="D327" s="1" t="s">
        <v>708</v>
      </c>
      <c r="E327" s="1" t="s">
        <v>711</v>
      </c>
      <c r="F327" t="str" cm="1">
        <f t="array" ref="F327">_xlfn.SWITCH(MID(E327,6,1),"S","Sucker","C","Crown","N","Nursery","")</f>
        <v>Crown</v>
      </c>
      <c r="G327" t="str" cm="1">
        <f t="array" ref="G327">_xlfn.SWITCH(MID(E327,7,1),"S","Sedang","K","Kecil","B","Besar","")</f>
        <v>Kecil</v>
      </c>
    </row>
    <row r="328" spans="1:7" x14ac:dyDescent="0.3">
      <c r="A328" s="1" t="s">
        <v>327</v>
      </c>
      <c r="B328" s="1" t="s">
        <v>752</v>
      </c>
      <c r="C328" s="2">
        <v>5.62</v>
      </c>
      <c r="D328" s="1" t="s">
        <v>717</v>
      </c>
      <c r="E328" s="1" t="s">
        <v>711</v>
      </c>
      <c r="F328" t="str" cm="1">
        <f t="array" ref="F328">_xlfn.SWITCH(MID(E328,6,1),"S","Sucker","C","Crown","N","Nursery","")</f>
        <v>Crown</v>
      </c>
      <c r="G328" t="str" cm="1">
        <f t="array" ref="G328">_xlfn.SWITCH(MID(E328,7,1),"S","Sedang","K","Kecil","B","Besar","")</f>
        <v>Kecil</v>
      </c>
    </row>
    <row r="329" spans="1:7" x14ac:dyDescent="0.3">
      <c r="A329" s="1" t="s">
        <v>328</v>
      </c>
      <c r="B329" s="1" t="s">
        <v>752</v>
      </c>
      <c r="C329" s="2">
        <v>7.49</v>
      </c>
      <c r="D329" s="1" t="s">
        <v>717</v>
      </c>
      <c r="E329" s="1" t="s">
        <v>711</v>
      </c>
      <c r="F329" t="str" cm="1">
        <f t="array" ref="F329">_xlfn.SWITCH(MID(E329,6,1),"S","Sucker","C","Crown","N","Nursery","")</f>
        <v>Crown</v>
      </c>
      <c r="G329" t="str" cm="1">
        <f t="array" ref="G329">_xlfn.SWITCH(MID(E329,7,1),"S","Sedang","K","Kecil","B","Besar","")</f>
        <v>Kecil</v>
      </c>
    </row>
    <row r="330" spans="1:7" x14ac:dyDescent="0.3">
      <c r="A330" s="1" t="s">
        <v>329</v>
      </c>
      <c r="B330" s="1" t="s">
        <v>752</v>
      </c>
      <c r="C330" s="2">
        <v>7.05</v>
      </c>
      <c r="D330" s="1" t="s">
        <v>708</v>
      </c>
      <c r="E330" s="1" t="s">
        <v>736</v>
      </c>
      <c r="F330" t="str" cm="1">
        <f t="array" ref="F330">_xlfn.SWITCH(MID(E330,6,1),"S","Sucker","C","Crown","N","Nursery","")</f>
        <v>Crown</v>
      </c>
      <c r="G330" t="str" cm="1">
        <f t="array" ref="G330">_xlfn.SWITCH(MID(E330,7,1),"S","Sedang","K","Kecil","B","Besar","")</f>
        <v/>
      </c>
    </row>
    <row r="331" spans="1:7" x14ac:dyDescent="0.3">
      <c r="A331" s="1" t="s">
        <v>330</v>
      </c>
      <c r="B331" s="1" t="s">
        <v>784</v>
      </c>
      <c r="C331" s="2">
        <v>6.54</v>
      </c>
      <c r="D331" s="1" t="s">
        <v>708</v>
      </c>
      <c r="E331" s="1" t="s">
        <v>711</v>
      </c>
      <c r="F331" t="str" cm="1">
        <f t="array" ref="F331">_xlfn.SWITCH(MID(E331,6,1),"S","Sucker","C","Crown","N","Nursery","")</f>
        <v>Crown</v>
      </c>
      <c r="G331" t="str" cm="1">
        <f t="array" ref="G331">_xlfn.SWITCH(MID(E331,7,1),"S","Sedang","K","Kecil","B","Besar","")</f>
        <v>Kecil</v>
      </c>
    </row>
    <row r="332" spans="1:7" x14ac:dyDescent="0.3">
      <c r="A332" s="1" t="s">
        <v>331</v>
      </c>
      <c r="B332" s="1" t="s">
        <v>752</v>
      </c>
      <c r="C332" s="2">
        <v>6.08</v>
      </c>
      <c r="D332" s="1" t="s">
        <v>738</v>
      </c>
      <c r="E332" s="1" t="s">
        <v>727</v>
      </c>
      <c r="F332" t="str" cm="1">
        <f t="array" ref="F332">_xlfn.SWITCH(MID(E332,6,1),"S","Sucker","C","Crown","N","Nursery","")</f>
        <v>Sucker</v>
      </c>
      <c r="G332" t="str" cm="1">
        <f t="array" ref="G332">_xlfn.SWITCH(MID(E332,7,1),"S","Sedang","K","Kecil","B","Besar","")</f>
        <v>Besar</v>
      </c>
    </row>
    <row r="333" spans="1:7" x14ac:dyDescent="0.3">
      <c r="A333" s="1" t="s">
        <v>332</v>
      </c>
      <c r="B333" s="1" t="s">
        <v>752</v>
      </c>
      <c r="C333" s="3">
        <v>8</v>
      </c>
      <c r="D333" s="1" t="s">
        <v>737</v>
      </c>
      <c r="E333" s="1" t="s">
        <v>727</v>
      </c>
      <c r="F333" t="str" cm="1">
        <f t="array" ref="F333">_xlfn.SWITCH(MID(E333,6,1),"S","Sucker","C","Crown","N","Nursery","")</f>
        <v>Sucker</v>
      </c>
      <c r="G333" t="str" cm="1">
        <f t="array" ref="G333">_xlfn.SWITCH(MID(E333,7,1),"S","Sedang","K","Kecil","B","Besar","")</f>
        <v>Besar</v>
      </c>
    </row>
    <row r="334" spans="1:7" x14ac:dyDescent="0.3">
      <c r="A334" s="1" t="s">
        <v>333</v>
      </c>
      <c r="B334" s="1" t="s">
        <v>752</v>
      </c>
      <c r="C334" s="2">
        <v>5.24</v>
      </c>
      <c r="D334" s="1" t="s">
        <v>716</v>
      </c>
      <c r="E334" s="1" t="s">
        <v>710</v>
      </c>
      <c r="F334" t="str" cm="1">
        <f t="array" ref="F334">_xlfn.SWITCH(MID(E334,6,1),"S","Sucker","C","Crown","N","Nursery","")</f>
        <v/>
      </c>
      <c r="G334" t="str" cm="1">
        <f t="array" ref="G334">_xlfn.SWITCH(MID(E334,7,1),"S","Sedang","K","Kecil","B","Besar","")</f>
        <v/>
      </c>
    </row>
    <row r="335" spans="1:7" x14ac:dyDescent="0.3">
      <c r="A335" s="1" t="s">
        <v>334</v>
      </c>
      <c r="B335" s="1" t="s">
        <v>752</v>
      </c>
      <c r="C335" s="2">
        <v>9.77</v>
      </c>
      <c r="D335" s="1" t="s">
        <v>743</v>
      </c>
      <c r="E335" s="1" t="s">
        <v>711</v>
      </c>
      <c r="F335" t="str" cm="1">
        <f t="array" ref="F335">_xlfn.SWITCH(MID(E335,6,1),"S","Sucker","C","Crown","N","Nursery","")</f>
        <v>Crown</v>
      </c>
      <c r="G335" t="str" cm="1">
        <f t="array" ref="G335">_xlfn.SWITCH(MID(E335,7,1),"S","Sedang","K","Kecil","B","Besar","")</f>
        <v>Kecil</v>
      </c>
    </row>
    <row r="336" spans="1:7" x14ac:dyDescent="0.3">
      <c r="A336" s="1" t="s">
        <v>335</v>
      </c>
      <c r="B336" s="1" t="s">
        <v>752</v>
      </c>
      <c r="C336" s="2">
        <v>10.72</v>
      </c>
      <c r="D336" s="1" t="s">
        <v>760</v>
      </c>
      <c r="E336" s="1" t="s">
        <v>710</v>
      </c>
      <c r="F336" t="str" cm="1">
        <f t="array" ref="F336">_xlfn.SWITCH(MID(E336,6,1),"S","Sucker","C","Crown","N","Nursery","")</f>
        <v/>
      </c>
      <c r="G336" t="str" cm="1">
        <f t="array" ref="G336">_xlfn.SWITCH(MID(E336,7,1),"S","Sedang","K","Kecil","B","Besar","")</f>
        <v/>
      </c>
    </row>
    <row r="337" spans="1:7" x14ac:dyDescent="0.3">
      <c r="A337" s="1" t="s">
        <v>336</v>
      </c>
      <c r="B337" s="1" t="s">
        <v>752</v>
      </c>
      <c r="C337" s="2">
        <v>8.51</v>
      </c>
      <c r="D337" s="1" t="s">
        <v>743</v>
      </c>
      <c r="E337" s="1" t="s">
        <v>711</v>
      </c>
      <c r="F337" t="str" cm="1">
        <f t="array" ref="F337">_xlfn.SWITCH(MID(E337,6,1),"S","Sucker","C","Crown","N","Nursery","")</f>
        <v>Crown</v>
      </c>
      <c r="G337" t="str" cm="1">
        <f t="array" ref="G337">_xlfn.SWITCH(MID(E337,7,1),"S","Sedang","K","Kecil","B","Besar","")</f>
        <v>Kecil</v>
      </c>
    </row>
    <row r="338" spans="1:7" x14ac:dyDescent="0.3">
      <c r="A338" s="1" t="s">
        <v>337</v>
      </c>
      <c r="B338" s="1" t="s">
        <v>784</v>
      </c>
      <c r="C338" s="2">
        <v>9.0299999999999994</v>
      </c>
      <c r="D338" s="1" t="s">
        <v>756</v>
      </c>
      <c r="E338" s="1" t="s">
        <v>707</v>
      </c>
      <c r="F338" t="str" cm="1">
        <f t="array" ref="F338">_xlfn.SWITCH(MID(E338,6,1),"S","Sucker","C","Crown","N","Nursery","")</f>
        <v>Sucker</v>
      </c>
      <c r="G338" t="str" cm="1">
        <f t="array" ref="G338">_xlfn.SWITCH(MID(E338,7,1),"S","Sedang","K","Kecil","B","Besar","")</f>
        <v>Sedang</v>
      </c>
    </row>
    <row r="339" spans="1:7" x14ac:dyDescent="0.3">
      <c r="A339" s="1" t="s">
        <v>338</v>
      </c>
      <c r="B339" s="1" t="s">
        <v>784</v>
      </c>
      <c r="C339" s="2">
        <v>8.5</v>
      </c>
      <c r="D339" s="1" t="s">
        <v>754</v>
      </c>
      <c r="E339" s="1" t="s">
        <v>711</v>
      </c>
      <c r="F339" t="str" cm="1">
        <f t="array" ref="F339">_xlfn.SWITCH(MID(E339,6,1),"S","Sucker","C","Crown","N","Nursery","")</f>
        <v>Crown</v>
      </c>
      <c r="G339" t="str" cm="1">
        <f t="array" ref="G339">_xlfn.SWITCH(MID(E339,7,1),"S","Sedang","K","Kecil","B","Besar","")</f>
        <v>Kecil</v>
      </c>
    </row>
    <row r="340" spans="1:7" x14ac:dyDescent="0.3">
      <c r="A340" s="1" t="s">
        <v>339</v>
      </c>
      <c r="B340" s="1" t="s">
        <v>752</v>
      </c>
      <c r="C340" s="2">
        <v>7.93</v>
      </c>
      <c r="D340" s="1" t="s">
        <v>735</v>
      </c>
      <c r="E340" s="1" t="s">
        <v>711</v>
      </c>
      <c r="F340" t="str" cm="1">
        <f t="array" ref="F340">_xlfn.SWITCH(MID(E340,6,1),"S","Sucker","C","Crown","N","Nursery","")</f>
        <v>Crown</v>
      </c>
      <c r="G340" t="str" cm="1">
        <f t="array" ref="G340">_xlfn.SWITCH(MID(E340,7,1),"S","Sedang","K","Kecil","B","Besar","")</f>
        <v>Kecil</v>
      </c>
    </row>
    <row r="341" spans="1:7" x14ac:dyDescent="0.3">
      <c r="A341" s="1" t="s">
        <v>340</v>
      </c>
      <c r="B341" s="1" t="s">
        <v>752</v>
      </c>
      <c r="C341" s="2">
        <v>7.27</v>
      </c>
      <c r="D341" s="1" t="s">
        <v>715</v>
      </c>
      <c r="E341" s="1" t="s">
        <v>710</v>
      </c>
      <c r="F341" t="str" cm="1">
        <f t="array" ref="F341">_xlfn.SWITCH(MID(E341,6,1),"S","Sucker","C","Crown","N","Nursery","")</f>
        <v/>
      </c>
      <c r="G341" t="str" cm="1">
        <f t="array" ref="G341">_xlfn.SWITCH(MID(E341,7,1),"S","Sedang","K","Kecil","B","Besar","")</f>
        <v/>
      </c>
    </row>
    <row r="342" spans="1:7" x14ac:dyDescent="0.3">
      <c r="A342" s="1" t="s">
        <v>341</v>
      </c>
      <c r="B342" s="1" t="s">
        <v>752</v>
      </c>
      <c r="C342" s="2">
        <v>9.17</v>
      </c>
      <c r="D342" s="1" t="s">
        <v>732</v>
      </c>
      <c r="E342" s="1" t="s">
        <v>710</v>
      </c>
      <c r="F342" t="str" cm="1">
        <f t="array" ref="F342">_xlfn.SWITCH(MID(E342,6,1),"S","Sucker","C","Crown","N","Nursery","")</f>
        <v/>
      </c>
      <c r="G342" t="str" cm="1">
        <f t="array" ref="G342">_xlfn.SWITCH(MID(E342,7,1),"S","Sedang","K","Kecil","B","Besar","")</f>
        <v/>
      </c>
    </row>
    <row r="343" spans="1:7" x14ac:dyDescent="0.3">
      <c r="A343" s="1" t="s">
        <v>342</v>
      </c>
      <c r="B343" s="1" t="s">
        <v>752</v>
      </c>
      <c r="C343" s="2">
        <v>6.45</v>
      </c>
      <c r="D343" s="1" t="s">
        <v>720</v>
      </c>
      <c r="E343" s="1" t="s">
        <v>711</v>
      </c>
      <c r="F343" t="str" cm="1">
        <f t="array" ref="F343">_xlfn.SWITCH(MID(E343,6,1),"S","Sucker","C","Crown","N","Nursery","")</f>
        <v>Crown</v>
      </c>
      <c r="G343" t="str" cm="1">
        <f t="array" ref="G343">_xlfn.SWITCH(MID(E343,7,1),"S","Sedang","K","Kecil","B","Besar","")</f>
        <v>Kecil</v>
      </c>
    </row>
    <row r="344" spans="1:7" x14ac:dyDescent="0.3">
      <c r="A344" s="1" t="s">
        <v>343</v>
      </c>
      <c r="B344" s="1" t="s">
        <v>752</v>
      </c>
      <c r="C344" s="2">
        <v>3.41</v>
      </c>
      <c r="D344" s="1" t="s">
        <v>740</v>
      </c>
      <c r="E344" s="1" t="s">
        <v>710</v>
      </c>
      <c r="F344" t="str" cm="1">
        <f t="array" ref="F344">_xlfn.SWITCH(MID(E344,6,1),"S","Sucker","C","Crown","N","Nursery","")</f>
        <v/>
      </c>
      <c r="G344" t="str" cm="1">
        <f t="array" ref="G344">_xlfn.SWITCH(MID(E344,7,1),"S","Sedang","K","Kecil","B","Besar","")</f>
        <v/>
      </c>
    </row>
    <row r="345" spans="1:7" x14ac:dyDescent="0.3">
      <c r="A345" s="1" t="s">
        <v>344</v>
      </c>
      <c r="B345" s="1" t="s">
        <v>752</v>
      </c>
      <c r="C345" s="2">
        <v>8.2899999999999991</v>
      </c>
      <c r="D345" s="1" t="s">
        <v>740</v>
      </c>
      <c r="E345" s="1" t="s">
        <v>710</v>
      </c>
      <c r="F345" t="str" cm="1">
        <f t="array" ref="F345">_xlfn.SWITCH(MID(E345,6,1),"S","Sucker","C","Crown","N","Nursery","")</f>
        <v/>
      </c>
      <c r="G345" t="str" cm="1">
        <f t="array" ref="G345">_xlfn.SWITCH(MID(E345,7,1),"S","Sedang","K","Kecil","B","Besar","")</f>
        <v/>
      </c>
    </row>
    <row r="346" spans="1:7" x14ac:dyDescent="0.3">
      <c r="A346" s="1" t="s">
        <v>345</v>
      </c>
      <c r="B346" s="1" t="s">
        <v>765</v>
      </c>
      <c r="C346" s="2">
        <v>4.3099999999999996</v>
      </c>
      <c r="D346" s="1" t="s">
        <v>787</v>
      </c>
      <c r="E346" s="1" t="s">
        <v>710</v>
      </c>
      <c r="F346" t="str" cm="1">
        <f t="array" ref="F346">_xlfn.SWITCH(MID(E346,6,1),"S","Sucker","C","Crown","N","Nursery","")</f>
        <v/>
      </c>
      <c r="G346" t="str" cm="1">
        <f t="array" ref="G346">_xlfn.SWITCH(MID(E346,7,1),"S","Sedang","K","Kecil","B","Besar","")</f>
        <v/>
      </c>
    </row>
    <row r="347" spans="1:7" x14ac:dyDescent="0.3">
      <c r="A347" s="1" t="s">
        <v>346</v>
      </c>
      <c r="B347" s="1" t="s">
        <v>752</v>
      </c>
      <c r="C347" s="2">
        <v>9.91</v>
      </c>
      <c r="D347" s="1" t="s">
        <v>758</v>
      </c>
      <c r="E347" s="1" t="s">
        <v>710</v>
      </c>
      <c r="F347" t="str" cm="1">
        <f t="array" ref="F347">_xlfn.SWITCH(MID(E347,6,1),"S","Sucker","C","Crown","N","Nursery","")</f>
        <v/>
      </c>
      <c r="G347" t="str" cm="1">
        <f t="array" ref="G347">_xlfn.SWITCH(MID(E347,7,1),"S","Sedang","K","Kecil","B","Besar","")</f>
        <v/>
      </c>
    </row>
    <row r="348" spans="1:7" x14ac:dyDescent="0.3">
      <c r="A348" s="1" t="s">
        <v>347</v>
      </c>
      <c r="B348" s="1" t="s">
        <v>765</v>
      </c>
      <c r="C348" s="2">
        <v>7.08</v>
      </c>
      <c r="D348" s="1" t="s">
        <v>766</v>
      </c>
      <c r="E348" s="1" t="s">
        <v>710</v>
      </c>
      <c r="F348" t="str" cm="1">
        <f t="array" ref="F348">_xlfn.SWITCH(MID(E348,6,1),"S","Sucker","C","Crown","N","Nursery","")</f>
        <v/>
      </c>
      <c r="G348" t="str" cm="1">
        <f t="array" ref="G348">_xlfn.SWITCH(MID(E348,7,1),"S","Sedang","K","Kecil","B","Besar","")</f>
        <v/>
      </c>
    </row>
    <row r="349" spans="1:7" x14ac:dyDescent="0.3">
      <c r="A349" s="1" t="s">
        <v>348</v>
      </c>
      <c r="B349" s="1" t="s">
        <v>752</v>
      </c>
      <c r="C349" s="3">
        <v>0</v>
      </c>
      <c r="D349" s="1" t="s">
        <v>788</v>
      </c>
      <c r="E349" s="1" t="s">
        <v>710</v>
      </c>
      <c r="F349" t="str" cm="1">
        <f t="array" ref="F349">_xlfn.SWITCH(MID(E349,6,1),"S","Sucker","C","Crown","N","Nursery","")</f>
        <v/>
      </c>
      <c r="G349" t="str" cm="1">
        <f t="array" ref="G349">_xlfn.SWITCH(MID(E349,7,1),"S","Sedang","K","Kecil","B","Besar","")</f>
        <v/>
      </c>
    </row>
    <row r="350" spans="1:7" x14ac:dyDescent="0.3">
      <c r="A350" s="1" t="s">
        <v>349</v>
      </c>
      <c r="B350" s="1" t="s">
        <v>752</v>
      </c>
      <c r="C350" s="2">
        <v>7.2</v>
      </c>
      <c r="D350" s="1" t="s">
        <v>726</v>
      </c>
      <c r="E350" s="1" t="s">
        <v>727</v>
      </c>
      <c r="F350" t="str" cm="1">
        <f t="array" ref="F350">_xlfn.SWITCH(MID(E350,6,1),"S","Sucker","C","Crown","N","Nursery","")</f>
        <v>Sucker</v>
      </c>
      <c r="G350" t="str" cm="1">
        <f t="array" ref="G350">_xlfn.SWITCH(MID(E350,7,1),"S","Sedang","K","Kecil","B","Besar","")</f>
        <v>Besar</v>
      </c>
    </row>
    <row r="351" spans="1:7" x14ac:dyDescent="0.3">
      <c r="A351" s="1" t="s">
        <v>350</v>
      </c>
      <c r="B351" s="1" t="s">
        <v>752</v>
      </c>
      <c r="C351" s="2">
        <v>6.15</v>
      </c>
      <c r="D351" s="1" t="s">
        <v>738</v>
      </c>
      <c r="E351" s="1" t="s">
        <v>727</v>
      </c>
      <c r="F351" t="str" cm="1">
        <f t="array" ref="F351">_xlfn.SWITCH(MID(E351,6,1),"S","Sucker","C","Crown","N","Nursery","")</f>
        <v>Sucker</v>
      </c>
      <c r="G351" t="str" cm="1">
        <f t="array" ref="G351">_xlfn.SWITCH(MID(E351,7,1),"S","Sedang","K","Kecil","B","Besar","")</f>
        <v>Besar</v>
      </c>
    </row>
    <row r="352" spans="1:7" x14ac:dyDescent="0.3">
      <c r="A352" s="1" t="s">
        <v>351</v>
      </c>
      <c r="B352" s="1" t="s">
        <v>752</v>
      </c>
      <c r="C352" s="2">
        <v>9.65</v>
      </c>
      <c r="D352" s="1" t="s">
        <v>739</v>
      </c>
      <c r="E352" s="1" t="s">
        <v>710</v>
      </c>
      <c r="F352" t="str" cm="1">
        <f t="array" ref="F352">_xlfn.SWITCH(MID(E352,6,1),"S","Sucker","C","Crown","N","Nursery","")</f>
        <v/>
      </c>
      <c r="G352" t="str" cm="1">
        <f t="array" ref="G352">_xlfn.SWITCH(MID(E352,7,1),"S","Sedang","K","Kecil","B","Besar","")</f>
        <v/>
      </c>
    </row>
    <row r="353" spans="1:7" x14ac:dyDescent="0.3">
      <c r="A353" s="1" t="s">
        <v>352</v>
      </c>
      <c r="B353" s="1" t="s">
        <v>752</v>
      </c>
      <c r="C353" s="2">
        <v>9.0500000000000007</v>
      </c>
      <c r="D353" s="1" t="s">
        <v>756</v>
      </c>
      <c r="E353" s="1" t="s">
        <v>711</v>
      </c>
      <c r="F353" t="str" cm="1">
        <f t="array" ref="F353">_xlfn.SWITCH(MID(E353,6,1),"S","Sucker","C","Crown","N","Nursery","")</f>
        <v>Crown</v>
      </c>
      <c r="G353" t="str" cm="1">
        <f t="array" ref="G353">_xlfn.SWITCH(MID(E353,7,1),"S","Sedang","K","Kecil","B","Besar","")</f>
        <v>Kecil</v>
      </c>
    </row>
    <row r="354" spans="1:7" x14ac:dyDescent="0.3">
      <c r="A354" s="1" t="s">
        <v>353</v>
      </c>
      <c r="B354" s="1" t="s">
        <v>752</v>
      </c>
      <c r="C354" s="2">
        <v>6.88</v>
      </c>
      <c r="D354" s="1" t="s">
        <v>737</v>
      </c>
      <c r="E354" s="1" t="s">
        <v>711</v>
      </c>
      <c r="F354" t="str" cm="1">
        <f t="array" ref="F354">_xlfn.SWITCH(MID(E354,6,1),"S","Sucker","C","Crown","N","Nursery","")</f>
        <v>Crown</v>
      </c>
      <c r="G354" t="str" cm="1">
        <f t="array" ref="G354">_xlfn.SWITCH(MID(E354,7,1),"S","Sedang","K","Kecil","B","Besar","")</f>
        <v>Kecil</v>
      </c>
    </row>
    <row r="355" spans="1:7" x14ac:dyDescent="0.3">
      <c r="A355" s="1" t="s">
        <v>354</v>
      </c>
      <c r="B355" s="1" t="s">
        <v>752</v>
      </c>
      <c r="C355" s="2">
        <v>3.64</v>
      </c>
      <c r="D355" s="1" t="s">
        <v>737</v>
      </c>
      <c r="E355" s="1" t="s">
        <v>711</v>
      </c>
      <c r="F355" t="str" cm="1">
        <f t="array" ref="F355">_xlfn.SWITCH(MID(E355,6,1),"S","Sucker","C","Crown","N","Nursery","")</f>
        <v>Crown</v>
      </c>
      <c r="G355" t="str" cm="1">
        <f t="array" ref="G355">_xlfn.SWITCH(MID(E355,7,1),"S","Sedang","K","Kecil","B","Besar","")</f>
        <v>Kecil</v>
      </c>
    </row>
    <row r="356" spans="1:7" x14ac:dyDescent="0.3">
      <c r="A356" s="1" t="s">
        <v>355</v>
      </c>
      <c r="B356" s="1" t="s">
        <v>752</v>
      </c>
      <c r="C356" s="2">
        <v>3.84</v>
      </c>
      <c r="D356" s="1" t="s">
        <v>738</v>
      </c>
      <c r="E356" s="1" t="s">
        <v>734</v>
      </c>
      <c r="F356" t="str" cm="1">
        <f t="array" ref="F356">_xlfn.SWITCH(MID(E356,6,1),"S","Sucker","C","Crown","N","Nursery","")</f>
        <v>Sucker</v>
      </c>
      <c r="G356" t="str" cm="1">
        <f t="array" ref="G356">_xlfn.SWITCH(MID(E356,7,1),"S","Sedang","K","Kecil","B","Besar","")</f>
        <v>Kecil</v>
      </c>
    </row>
    <row r="357" spans="1:7" x14ac:dyDescent="0.3">
      <c r="A357" s="1" t="s">
        <v>356</v>
      </c>
      <c r="B357" s="1" t="s">
        <v>752</v>
      </c>
      <c r="C357" s="2">
        <v>8.65</v>
      </c>
      <c r="D357" s="1" t="s">
        <v>738</v>
      </c>
      <c r="E357" s="1" t="s">
        <v>711</v>
      </c>
      <c r="F357" t="str" cm="1">
        <f t="array" ref="F357">_xlfn.SWITCH(MID(E357,6,1),"S","Sucker","C","Crown","N","Nursery","")</f>
        <v>Crown</v>
      </c>
      <c r="G357" t="str" cm="1">
        <f t="array" ref="G357">_xlfn.SWITCH(MID(E357,7,1),"S","Sedang","K","Kecil","B","Besar","")</f>
        <v>Kecil</v>
      </c>
    </row>
    <row r="358" spans="1:7" x14ac:dyDescent="0.3">
      <c r="A358" s="1" t="s">
        <v>357</v>
      </c>
      <c r="B358" s="1" t="s">
        <v>752</v>
      </c>
      <c r="C358" s="2">
        <v>3.71</v>
      </c>
      <c r="D358" s="1" t="s">
        <v>719</v>
      </c>
      <c r="E358" s="1" t="s">
        <v>711</v>
      </c>
      <c r="F358" t="str" cm="1">
        <f t="array" ref="F358">_xlfn.SWITCH(MID(E358,6,1),"S","Sucker","C","Crown","N","Nursery","")</f>
        <v>Crown</v>
      </c>
      <c r="G358" t="str" cm="1">
        <f t="array" ref="G358">_xlfn.SWITCH(MID(E358,7,1),"S","Sedang","K","Kecil","B","Besar","")</f>
        <v>Kecil</v>
      </c>
    </row>
    <row r="359" spans="1:7" x14ac:dyDescent="0.3">
      <c r="A359" s="1" t="s">
        <v>358</v>
      </c>
      <c r="B359" s="1" t="s">
        <v>752</v>
      </c>
      <c r="C359" s="2">
        <v>5.87</v>
      </c>
      <c r="D359" s="1" t="s">
        <v>742</v>
      </c>
      <c r="E359" s="1" t="s">
        <v>710</v>
      </c>
      <c r="F359" t="str" cm="1">
        <f t="array" ref="F359">_xlfn.SWITCH(MID(E359,6,1),"S","Sucker","C","Crown","N","Nursery","")</f>
        <v/>
      </c>
      <c r="G359" t="str" cm="1">
        <f t="array" ref="G359">_xlfn.SWITCH(MID(E359,7,1),"S","Sedang","K","Kecil","B","Besar","")</f>
        <v/>
      </c>
    </row>
    <row r="360" spans="1:7" x14ac:dyDescent="0.3">
      <c r="A360" s="1" t="s">
        <v>359</v>
      </c>
      <c r="B360" s="1" t="s">
        <v>752</v>
      </c>
      <c r="C360" s="2">
        <v>7.25</v>
      </c>
      <c r="D360" s="1" t="s">
        <v>719</v>
      </c>
      <c r="E360" s="1" t="s">
        <v>711</v>
      </c>
      <c r="F360" t="str" cm="1">
        <f t="array" ref="F360">_xlfn.SWITCH(MID(E360,6,1),"S","Sucker","C","Crown","N","Nursery","")</f>
        <v>Crown</v>
      </c>
      <c r="G360" t="str" cm="1">
        <f t="array" ref="G360">_xlfn.SWITCH(MID(E360,7,1),"S","Sedang","K","Kecil","B","Besar","")</f>
        <v>Kecil</v>
      </c>
    </row>
    <row r="361" spans="1:7" x14ac:dyDescent="0.3">
      <c r="A361" s="1" t="s">
        <v>360</v>
      </c>
      <c r="B361" s="1" t="s">
        <v>752</v>
      </c>
      <c r="C361" s="2">
        <v>8.67</v>
      </c>
      <c r="D361" s="1" t="s">
        <v>756</v>
      </c>
      <c r="E361" s="1" t="s">
        <v>711</v>
      </c>
      <c r="F361" t="str" cm="1">
        <f t="array" ref="F361">_xlfn.SWITCH(MID(E361,6,1),"S","Sucker","C","Crown","N","Nursery","")</f>
        <v>Crown</v>
      </c>
      <c r="G361" t="str" cm="1">
        <f t="array" ref="G361">_xlfn.SWITCH(MID(E361,7,1),"S","Sedang","K","Kecil","B","Besar","")</f>
        <v>Kecil</v>
      </c>
    </row>
    <row r="362" spans="1:7" x14ac:dyDescent="0.3">
      <c r="A362" s="1" t="s">
        <v>361</v>
      </c>
      <c r="B362" s="1" t="s">
        <v>784</v>
      </c>
      <c r="C362" s="2">
        <v>4.28</v>
      </c>
      <c r="D362" s="1" t="s">
        <v>718</v>
      </c>
      <c r="E362" s="1" t="s">
        <v>710</v>
      </c>
      <c r="F362" t="str" cm="1">
        <f t="array" ref="F362">_xlfn.SWITCH(MID(E362,6,1),"S","Sucker","C","Crown","N","Nursery","")</f>
        <v/>
      </c>
      <c r="G362" t="str" cm="1">
        <f t="array" ref="G362">_xlfn.SWITCH(MID(E362,7,1),"S","Sedang","K","Kecil","B","Besar","")</f>
        <v/>
      </c>
    </row>
    <row r="363" spans="1:7" x14ac:dyDescent="0.3">
      <c r="A363" s="1" t="s">
        <v>362</v>
      </c>
      <c r="B363" s="1" t="s">
        <v>784</v>
      </c>
      <c r="C363" s="2">
        <v>4.8899999999999997</v>
      </c>
      <c r="D363" s="1" t="s">
        <v>720</v>
      </c>
      <c r="E363" s="1" t="s">
        <v>711</v>
      </c>
      <c r="F363" t="str" cm="1">
        <f t="array" ref="F363">_xlfn.SWITCH(MID(E363,6,1),"S","Sucker","C","Crown","N","Nursery","")</f>
        <v>Crown</v>
      </c>
      <c r="G363" t="str" cm="1">
        <f t="array" ref="G363">_xlfn.SWITCH(MID(E363,7,1),"S","Sedang","K","Kecil","B","Besar","")</f>
        <v>Kecil</v>
      </c>
    </row>
    <row r="364" spans="1:7" x14ac:dyDescent="0.3">
      <c r="A364" s="1" t="s">
        <v>363</v>
      </c>
      <c r="B364" s="1" t="s">
        <v>784</v>
      </c>
      <c r="C364" s="2">
        <v>7.73</v>
      </c>
      <c r="D364" s="1" t="s">
        <v>720</v>
      </c>
      <c r="E364" s="1" t="s">
        <v>711</v>
      </c>
      <c r="F364" t="str" cm="1">
        <f t="array" ref="F364">_xlfn.SWITCH(MID(E364,6,1),"S","Sucker","C","Crown","N","Nursery","")</f>
        <v>Crown</v>
      </c>
      <c r="G364" t="str" cm="1">
        <f t="array" ref="G364">_xlfn.SWITCH(MID(E364,7,1),"S","Sedang","K","Kecil","B","Besar","")</f>
        <v>Kecil</v>
      </c>
    </row>
    <row r="365" spans="1:7" x14ac:dyDescent="0.3">
      <c r="A365" s="1" t="s">
        <v>364</v>
      </c>
      <c r="B365" s="1" t="s">
        <v>784</v>
      </c>
      <c r="C365" s="2">
        <v>5.58</v>
      </c>
      <c r="D365" s="1" t="s">
        <v>750</v>
      </c>
      <c r="E365" s="1" t="s">
        <v>710</v>
      </c>
      <c r="F365" t="str" cm="1">
        <f t="array" ref="F365">_xlfn.SWITCH(MID(E365,6,1),"S","Sucker","C","Crown","N","Nursery","")</f>
        <v/>
      </c>
      <c r="G365" t="str" cm="1">
        <f t="array" ref="G365">_xlfn.SWITCH(MID(E365,7,1),"S","Sedang","K","Kecil","B","Besar","")</f>
        <v/>
      </c>
    </row>
    <row r="366" spans="1:7" x14ac:dyDescent="0.3">
      <c r="A366" s="1" t="s">
        <v>365</v>
      </c>
      <c r="B366" s="1" t="s">
        <v>784</v>
      </c>
      <c r="C366" s="2">
        <v>5.59</v>
      </c>
      <c r="D366" s="1" t="s">
        <v>750</v>
      </c>
      <c r="E366" s="1" t="s">
        <v>710</v>
      </c>
      <c r="F366" t="str" cm="1">
        <f t="array" ref="F366">_xlfn.SWITCH(MID(E366,6,1),"S","Sucker","C","Crown","N","Nursery","")</f>
        <v/>
      </c>
      <c r="G366" t="str" cm="1">
        <f t="array" ref="G366">_xlfn.SWITCH(MID(E366,7,1),"S","Sedang","K","Kecil","B","Besar","")</f>
        <v/>
      </c>
    </row>
    <row r="367" spans="1:7" x14ac:dyDescent="0.3">
      <c r="A367" s="1" t="s">
        <v>366</v>
      </c>
      <c r="B367" s="1" t="s">
        <v>784</v>
      </c>
      <c r="C367" s="2">
        <v>5.74</v>
      </c>
      <c r="D367" s="1" t="s">
        <v>717</v>
      </c>
      <c r="E367" s="1" t="s">
        <v>707</v>
      </c>
      <c r="F367" t="str" cm="1">
        <f t="array" ref="F367">_xlfn.SWITCH(MID(E367,6,1),"S","Sucker","C","Crown","N","Nursery","")</f>
        <v>Sucker</v>
      </c>
      <c r="G367" t="str" cm="1">
        <f t="array" ref="G367">_xlfn.SWITCH(MID(E367,7,1),"S","Sedang","K","Kecil","B","Besar","")</f>
        <v>Sedang</v>
      </c>
    </row>
    <row r="368" spans="1:7" x14ac:dyDescent="0.3">
      <c r="A368" s="1" t="s">
        <v>367</v>
      </c>
      <c r="B368" s="1" t="s">
        <v>784</v>
      </c>
      <c r="C368" s="2">
        <v>6.08</v>
      </c>
      <c r="D368" s="1" t="s">
        <v>726</v>
      </c>
      <c r="E368" s="1" t="s">
        <v>707</v>
      </c>
      <c r="F368" t="str" cm="1">
        <f t="array" ref="F368">_xlfn.SWITCH(MID(E368,6,1),"S","Sucker","C","Crown","N","Nursery","")</f>
        <v>Sucker</v>
      </c>
      <c r="G368" t="str" cm="1">
        <f t="array" ref="G368">_xlfn.SWITCH(MID(E368,7,1),"S","Sedang","K","Kecil","B","Besar","")</f>
        <v>Sedang</v>
      </c>
    </row>
    <row r="369" spans="1:7" x14ac:dyDescent="0.3">
      <c r="A369" s="1" t="s">
        <v>368</v>
      </c>
      <c r="B369" s="1" t="s">
        <v>784</v>
      </c>
      <c r="C369" s="2">
        <v>9.6199999999999992</v>
      </c>
      <c r="D369" s="1" t="s">
        <v>751</v>
      </c>
      <c r="E369" s="1" t="s">
        <v>707</v>
      </c>
      <c r="F369" t="str" cm="1">
        <f t="array" ref="F369">_xlfn.SWITCH(MID(E369,6,1),"S","Sucker","C","Crown","N","Nursery","")</f>
        <v>Sucker</v>
      </c>
      <c r="G369" t="str" cm="1">
        <f t="array" ref="G369">_xlfn.SWITCH(MID(E369,7,1),"S","Sedang","K","Kecil","B","Besar","")</f>
        <v>Sedang</v>
      </c>
    </row>
    <row r="370" spans="1:7" x14ac:dyDescent="0.3">
      <c r="A370" s="1" t="s">
        <v>369</v>
      </c>
      <c r="B370" s="1" t="s">
        <v>784</v>
      </c>
      <c r="C370" s="2">
        <v>6.94</v>
      </c>
      <c r="D370" s="1" t="s">
        <v>760</v>
      </c>
      <c r="E370" s="1" t="s">
        <v>710</v>
      </c>
      <c r="F370" t="str" cm="1">
        <f t="array" ref="F370">_xlfn.SWITCH(MID(E370,6,1),"S","Sucker","C","Crown","N","Nursery","")</f>
        <v/>
      </c>
      <c r="G370" t="str" cm="1">
        <f t="array" ref="G370">_xlfn.SWITCH(MID(E370,7,1),"S","Sedang","K","Kecil","B","Besar","")</f>
        <v/>
      </c>
    </row>
    <row r="371" spans="1:7" x14ac:dyDescent="0.3">
      <c r="A371" s="1" t="s">
        <v>370</v>
      </c>
      <c r="B371" s="1" t="s">
        <v>784</v>
      </c>
      <c r="C371" s="2">
        <v>3.99</v>
      </c>
      <c r="D371" s="1" t="s">
        <v>718</v>
      </c>
      <c r="E371" s="1" t="s">
        <v>710</v>
      </c>
      <c r="F371" t="str" cm="1">
        <f t="array" ref="F371">_xlfn.SWITCH(MID(E371,6,1),"S","Sucker","C","Crown","N","Nursery","")</f>
        <v/>
      </c>
      <c r="G371" t="str" cm="1">
        <f t="array" ref="G371">_xlfn.SWITCH(MID(E371,7,1),"S","Sedang","K","Kecil","B","Besar","")</f>
        <v/>
      </c>
    </row>
    <row r="372" spans="1:7" x14ac:dyDescent="0.3">
      <c r="A372" s="1" t="s">
        <v>371</v>
      </c>
      <c r="B372" s="1" t="s">
        <v>784</v>
      </c>
      <c r="C372" s="2">
        <v>5.28</v>
      </c>
      <c r="D372" s="1" t="s">
        <v>718</v>
      </c>
      <c r="E372" s="1" t="s">
        <v>710</v>
      </c>
      <c r="F372" t="str" cm="1">
        <f t="array" ref="F372">_xlfn.SWITCH(MID(E372,6,1),"S","Sucker","C","Crown","N","Nursery","")</f>
        <v/>
      </c>
      <c r="G372" t="str" cm="1">
        <f t="array" ref="G372">_xlfn.SWITCH(MID(E372,7,1),"S","Sedang","K","Kecil","B","Besar","")</f>
        <v/>
      </c>
    </row>
    <row r="373" spans="1:7" x14ac:dyDescent="0.3">
      <c r="A373" s="1" t="s">
        <v>372</v>
      </c>
      <c r="B373" s="1" t="s">
        <v>784</v>
      </c>
      <c r="C373" s="2">
        <v>6.88</v>
      </c>
      <c r="D373" s="1" t="s">
        <v>726</v>
      </c>
      <c r="E373" s="1" t="s">
        <v>727</v>
      </c>
      <c r="F373" t="str" cm="1">
        <f t="array" ref="F373">_xlfn.SWITCH(MID(E373,6,1),"S","Sucker","C","Crown","N","Nursery","")</f>
        <v>Sucker</v>
      </c>
      <c r="G373" t="str" cm="1">
        <f t="array" ref="G373">_xlfn.SWITCH(MID(E373,7,1),"S","Sedang","K","Kecil","B","Besar","")</f>
        <v>Besar</v>
      </c>
    </row>
    <row r="374" spans="1:7" x14ac:dyDescent="0.3">
      <c r="A374" s="1" t="s">
        <v>373</v>
      </c>
      <c r="B374" s="1" t="s">
        <v>784</v>
      </c>
      <c r="C374" s="3">
        <v>2</v>
      </c>
      <c r="D374" s="1" t="s">
        <v>726</v>
      </c>
      <c r="E374" s="1" t="s">
        <v>727</v>
      </c>
      <c r="F374" t="str" cm="1">
        <f t="array" ref="F374">_xlfn.SWITCH(MID(E374,6,1),"S","Sucker","C","Crown","N","Nursery","")</f>
        <v>Sucker</v>
      </c>
      <c r="G374" t="str" cm="1">
        <f t="array" ref="G374">_xlfn.SWITCH(MID(E374,7,1),"S","Sedang","K","Kecil","B","Besar","")</f>
        <v>Besar</v>
      </c>
    </row>
    <row r="375" spans="1:7" x14ac:dyDescent="0.3">
      <c r="A375" s="1" t="s">
        <v>374</v>
      </c>
      <c r="B375" s="1" t="s">
        <v>784</v>
      </c>
      <c r="C375" s="2">
        <v>5.54</v>
      </c>
      <c r="D375" s="1" t="s">
        <v>740</v>
      </c>
      <c r="E375" s="1" t="s">
        <v>710</v>
      </c>
      <c r="F375" t="str" cm="1">
        <f t="array" ref="F375">_xlfn.SWITCH(MID(E375,6,1),"S","Sucker","C","Crown","N","Nursery","")</f>
        <v/>
      </c>
      <c r="G375" t="str" cm="1">
        <f t="array" ref="G375">_xlfn.SWITCH(MID(E375,7,1),"S","Sedang","K","Kecil","B","Besar","")</f>
        <v/>
      </c>
    </row>
    <row r="376" spans="1:7" x14ac:dyDescent="0.3">
      <c r="A376" s="1" t="s">
        <v>375</v>
      </c>
      <c r="B376" s="1" t="s">
        <v>784</v>
      </c>
      <c r="C376" s="2">
        <v>7.74</v>
      </c>
      <c r="D376" s="1" t="s">
        <v>713</v>
      </c>
      <c r="E376" s="1" t="s">
        <v>710</v>
      </c>
      <c r="F376" t="str" cm="1">
        <f t="array" ref="F376">_xlfn.SWITCH(MID(E376,6,1),"S","Sucker","C","Crown","N","Nursery","")</f>
        <v/>
      </c>
      <c r="G376" t="str" cm="1">
        <f t="array" ref="G376">_xlfn.SWITCH(MID(E376,7,1),"S","Sedang","K","Kecil","B","Besar","")</f>
        <v/>
      </c>
    </row>
    <row r="377" spans="1:7" x14ac:dyDescent="0.3">
      <c r="A377" s="1" t="s">
        <v>376</v>
      </c>
      <c r="B377" s="1" t="s">
        <v>784</v>
      </c>
      <c r="C377" s="2">
        <v>12.78</v>
      </c>
      <c r="D377" s="1" t="s">
        <v>729</v>
      </c>
      <c r="E377" s="1" t="s">
        <v>710</v>
      </c>
      <c r="F377" t="str" cm="1">
        <f t="array" ref="F377">_xlfn.SWITCH(MID(E377,6,1),"S","Sucker","C","Crown","N","Nursery","")</f>
        <v/>
      </c>
      <c r="G377" t="str" cm="1">
        <f t="array" ref="G377">_xlfn.SWITCH(MID(E377,7,1),"S","Sedang","K","Kecil","B","Besar","")</f>
        <v/>
      </c>
    </row>
    <row r="378" spans="1:7" x14ac:dyDescent="0.3">
      <c r="A378" s="1" t="s">
        <v>377</v>
      </c>
      <c r="B378" s="1" t="s">
        <v>784</v>
      </c>
      <c r="C378" s="2">
        <v>10.98</v>
      </c>
      <c r="D378" s="1" t="s">
        <v>759</v>
      </c>
      <c r="E378" s="1" t="s">
        <v>710</v>
      </c>
      <c r="F378" t="str" cm="1">
        <f t="array" ref="F378">_xlfn.SWITCH(MID(E378,6,1),"S","Sucker","C","Crown","N","Nursery","")</f>
        <v/>
      </c>
      <c r="G378" t="str" cm="1">
        <f t="array" ref="G378">_xlfn.SWITCH(MID(E378,7,1),"S","Sedang","K","Kecil","B","Besar","")</f>
        <v/>
      </c>
    </row>
    <row r="379" spans="1:7" x14ac:dyDescent="0.3">
      <c r="A379" s="1" t="s">
        <v>378</v>
      </c>
      <c r="B379" s="1" t="s">
        <v>784</v>
      </c>
      <c r="C379" s="2">
        <v>10.31</v>
      </c>
      <c r="D379" s="1" t="s">
        <v>713</v>
      </c>
      <c r="E379" s="1" t="s">
        <v>710</v>
      </c>
      <c r="F379" t="str" cm="1">
        <f t="array" ref="F379">_xlfn.SWITCH(MID(E379,6,1),"S","Sucker","C","Crown","N","Nursery","")</f>
        <v/>
      </c>
      <c r="G379" t="str" cm="1">
        <f t="array" ref="G379">_xlfn.SWITCH(MID(E379,7,1),"S","Sedang","K","Kecil","B","Besar","")</f>
        <v/>
      </c>
    </row>
    <row r="380" spans="1:7" x14ac:dyDescent="0.3">
      <c r="A380" s="1" t="s">
        <v>379</v>
      </c>
      <c r="B380" s="1" t="s">
        <v>784</v>
      </c>
      <c r="C380" s="2">
        <v>4.28</v>
      </c>
      <c r="D380" s="1" t="s">
        <v>738</v>
      </c>
      <c r="E380" s="1" t="s">
        <v>707</v>
      </c>
      <c r="F380" t="str" cm="1">
        <f t="array" ref="F380">_xlfn.SWITCH(MID(E380,6,1),"S","Sucker","C","Crown","N","Nursery","")</f>
        <v>Sucker</v>
      </c>
      <c r="G380" t="str" cm="1">
        <f t="array" ref="G380">_xlfn.SWITCH(MID(E380,7,1),"S","Sedang","K","Kecil","B","Besar","")</f>
        <v>Sedang</v>
      </c>
    </row>
    <row r="381" spans="1:7" x14ac:dyDescent="0.3">
      <c r="A381" s="1" t="s">
        <v>380</v>
      </c>
      <c r="B381" s="1" t="s">
        <v>784</v>
      </c>
      <c r="C381" s="2">
        <v>6.78</v>
      </c>
      <c r="D381" s="1" t="s">
        <v>726</v>
      </c>
      <c r="E381" s="1" t="s">
        <v>711</v>
      </c>
      <c r="F381" t="str" cm="1">
        <f t="array" ref="F381">_xlfn.SWITCH(MID(E381,6,1),"S","Sucker","C","Crown","N","Nursery","")</f>
        <v>Crown</v>
      </c>
      <c r="G381" t="str" cm="1">
        <f t="array" ref="G381">_xlfn.SWITCH(MID(E381,7,1),"S","Sedang","K","Kecil","B","Besar","")</f>
        <v>Kecil</v>
      </c>
    </row>
    <row r="382" spans="1:7" x14ac:dyDescent="0.3">
      <c r="A382" s="1" t="s">
        <v>381</v>
      </c>
      <c r="B382" s="1" t="s">
        <v>784</v>
      </c>
      <c r="C382" s="2">
        <v>5.76</v>
      </c>
      <c r="D382" s="1" t="s">
        <v>726</v>
      </c>
      <c r="E382" s="1" t="s">
        <v>711</v>
      </c>
      <c r="F382" t="str" cm="1">
        <f t="array" ref="F382">_xlfn.SWITCH(MID(E382,6,1),"S","Sucker","C","Crown","N","Nursery","")</f>
        <v>Crown</v>
      </c>
      <c r="G382" t="str" cm="1">
        <f t="array" ref="G382">_xlfn.SWITCH(MID(E382,7,1),"S","Sedang","K","Kecil","B","Besar","")</f>
        <v>Kecil</v>
      </c>
    </row>
    <row r="383" spans="1:7" x14ac:dyDescent="0.3">
      <c r="A383" s="1" t="s">
        <v>382</v>
      </c>
      <c r="B383" s="1" t="s">
        <v>784</v>
      </c>
      <c r="C383" s="2">
        <v>1.5</v>
      </c>
      <c r="D383" s="1" t="s">
        <v>723</v>
      </c>
      <c r="E383" s="1" t="s">
        <v>710</v>
      </c>
      <c r="F383" t="str" cm="1">
        <f t="array" ref="F383">_xlfn.SWITCH(MID(E383,6,1),"S","Sucker","C","Crown","N","Nursery","")</f>
        <v/>
      </c>
      <c r="G383" t="str" cm="1">
        <f t="array" ref="G383">_xlfn.SWITCH(MID(E383,7,1),"S","Sedang","K","Kecil","B","Besar","")</f>
        <v/>
      </c>
    </row>
    <row r="384" spans="1:7" x14ac:dyDescent="0.3">
      <c r="A384" s="1" t="s">
        <v>383</v>
      </c>
      <c r="B384" s="1" t="s">
        <v>784</v>
      </c>
      <c r="C384" s="2">
        <v>3.35</v>
      </c>
      <c r="D384" s="1" t="s">
        <v>723</v>
      </c>
      <c r="E384" s="1" t="s">
        <v>710</v>
      </c>
      <c r="F384" t="str" cm="1">
        <f t="array" ref="F384">_xlfn.SWITCH(MID(E384,6,1),"S","Sucker","C","Crown","N","Nursery","")</f>
        <v/>
      </c>
      <c r="G384" t="str" cm="1">
        <f t="array" ref="G384">_xlfn.SWITCH(MID(E384,7,1),"S","Sedang","K","Kecil","B","Besar","")</f>
        <v/>
      </c>
    </row>
    <row r="385" spans="1:7" x14ac:dyDescent="0.3">
      <c r="A385" s="1" t="s">
        <v>384</v>
      </c>
      <c r="B385" s="1" t="s">
        <v>784</v>
      </c>
      <c r="C385" s="2">
        <v>6.49</v>
      </c>
      <c r="D385" s="1" t="s">
        <v>723</v>
      </c>
      <c r="E385" s="1" t="s">
        <v>710</v>
      </c>
      <c r="F385" t="str" cm="1">
        <f t="array" ref="F385">_xlfn.SWITCH(MID(E385,6,1),"S","Sucker","C","Crown","N","Nursery","")</f>
        <v/>
      </c>
      <c r="G385" t="str" cm="1">
        <f t="array" ref="G385">_xlfn.SWITCH(MID(E385,7,1),"S","Sedang","K","Kecil","B","Besar","")</f>
        <v/>
      </c>
    </row>
    <row r="386" spans="1:7" x14ac:dyDescent="0.3">
      <c r="A386" s="1" t="s">
        <v>385</v>
      </c>
      <c r="B386" s="1" t="s">
        <v>784</v>
      </c>
      <c r="C386" s="2">
        <v>8.8800000000000008</v>
      </c>
      <c r="D386" s="1" t="s">
        <v>750</v>
      </c>
      <c r="E386" s="1" t="s">
        <v>710</v>
      </c>
      <c r="F386" t="str" cm="1">
        <f t="array" ref="F386">_xlfn.SWITCH(MID(E386,6,1),"S","Sucker","C","Crown","N","Nursery","")</f>
        <v/>
      </c>
      <c r="G386" t="str" cm="1">
        <f t="array" ref="G386">_xlfn.SWITCH(MID(E386,7,1),"S","Sedang","K","Kecil","B","Besar","")</f>
        <v/>
      </c>
    </row>
    <row r="387" spans="1:7" x14ac:dyDescent="0.3">
      <c r="A387" s="1" t="s">
        <v>386</v>
      </c>
      <c r="B387" s="1" t="s">
        <v>784</v>
      </c>
      <c r="C387" s="2">
        <v>6.7</v>
      </c>
      <c r="D387" s="1" t="s">
        <v>755</v>
      </c>
      <c r="E387" s="1" t="s">
        <v>710</v>
      </c>
      <c r="F387" t="str" cm="1">
        <f t="array" ref="F387">_xlfn.SWITCH(MID(E387,6,1),"S","Sucker","C","Crown","N","Nursery","")</f>
        <v/>
      </c>
      <c r="G387" t="str" cm="1">
        <f t="array" ref="G387">_xlfn.SWITCH(MID(E387,7,1),"S","Sedang","K","Kecil","B","Besar","")</f>
        <v/>
      </c>
    </row>
    <row r="388" spans="1:7" x14ac:dyDescent="0.3">
      <c r="A388" s="1" t="s">
        <v>387</v>
      </c>
      <c r="B388" s="1" t="s">
        <v>784</v>
      </c>
      <c r="C388" s="2">
        <v>7.91</v>
      </c>
      <c r="D388" s="1" t="s">
        <v>745</v>
      </c>
      <c r="E388" s="1" t="s">
        <v>710</v>
      </c>
      <c r="F388" t="str" cm="1">
        <f t="array" ref="F388">_xlfn.SWITCH(MID(E388,6,1),"S","Sucker","C","Crown","N","Nursery","")</f>
        <v/>
      </c>
      <c r="G388" t="str" cm="1">
        <f t="array" ref="G388">_xlfn.SWITCH(MID(E388,7,1),"S","Sedang","K","Kecil","B","Besar","")</f>
        <v/>
      </c>
    </row>
    <row r="389" spans="1:7" x14ac:dyDescent="0.3">
      <c r="A389" s="1" t="s">
        <v>388</v>
      </c>
      <c r="B389" s="1" t="s">
        <v>784</v>
      </c>
      <c r="C389" s="2">
        <v>5.26</v>
      </c>
      <c r="D389" s="1" t="s">
        <v>745</v>
      </c>
      <c r="E389" s="1" t="s">
        <v>710</v>
      </c>
      <c r="F389" t="str" cm="1">
        <f t="array" ref="F389">_xlfn.SWITCH(MID(E389,6,1),"S","Sucker","C","Crown","N","Nursery","")</f>
        <v/>
      </c>
      <c r="G389" t="str" cm="1">
        <f t="array" ref="G389">_xlfn.SWITCH(MID(E389,7,1),"S","Sedang","K","Kecil","B","Besar","")</f>
        <v/>
      </c>
    </row>
    <row r="390" spans="1:7" x14ac:dyDescent="0.3">
      <c r="A390" s="1" t="s">
        <v>389</v>
      </c>
      <c r="B390" s="1" t="s">
        <v>784</v>
      </c>
      <c r="C390" s="2">
        <v>14.16</v>
      </c>
      <c r="D390" s="1" t="s">
        <v>737</v>
      </c>
      <c r="E390" s="1" t="s">
        <v>711</v>
      </c>
      <c r="F390" t="str" cm="1">
        <f t="array" ref="F390">_xlfn.SWITCH(MID(E390,6,1),"S","Sucker","C","Crown","N","Nursery","")</f>
        <v>Crown</v>
      </c>
      <c r="G390" t="str" cm="1">
        <f t="array" ref="G390">_xlfn.SWITCH(MID(E390,7,1),"S","Sedang","K","Kecil","B","Besar","")</f>
        <v>Kecil</v>
      </c>
    </row>
    <row r="391" spans="1:7" x14ac:dyDescent="0.3">
      <c r="A391" s="1" t="s">
        <v>390</v>
      </c>
      <c r="B391" s="1" t="s">
        <v>784</v>
      </c>
      <c r="C391" s="2">
        <v>6.17</v>
      </c>
      <c r="D391" s="1" t="s">
        <v>741</v>
      </c>
      <c r="E391" s="1" t="s">
        <v>710</v>
      </c>
      <c r="F391" t="str" cm="1">
        <f t="array" ref="F391">_xlfn.SWITCH(MID(E391,6,1),"S","Sucker","C","Crown","N","Nursery","")</f>
        <v/>
      </c>
      <c r="G391" t="str" cm="1">
        <f t="array" ref="G391">_xlfn.SWITCH(MID(E391,7,1),"S","Sedang","K","Kecil","B","Besar","")</f>
        <v/>
      </c>
    </row>
    <row r="392" spans="1:7" x14ac:dyDescent="0.3">
      <c r="A392" s="1" t="s">
        <v>391</v>
      </c>
      <c r="B392" s="1" t="s">
        <v>784</v>
      </c>
      <c r="C392" s="2">
        <v>10.33</v>
      </c>
      <c r="D392" s="1" t="s">
        <v>706</v>
      </c>
      <c r="E392" s="1" t="s">
        <v>711</v>
      </c>
      <c r="F392" t="str" cm="1">
        <f t="array" ref="F392">_xlfn.SWITCH(MID(E392,6,1),"S","Sucker","C","Crown","N","Nursery","")</f>
        <v>Crown</v>
      </c>
      <c r="G392" t="str" cm="1">
        <f t="array" ref="G392">_xlfn.SWITCH(MID(E392,7,1),"S","Sedang","K","Kecil","B","Besar","")</f>
        <v>Kecil</v>
      </c>
    </row>
    <row r="393" spans="1:7" x14ac:dyDescent="0.3">
      <c r="A393" s="1" t="s">
        <v>392</v>
      </c>
      <c r="B393" s="1" t="s">
        <v>784</v>
      </c>
      <c r="C393" s="2">
        <v>3.93</v>
      </c>
      <c r="D393" s="1" t="s">
        <v>745</v>
      </c>
      <c r="E393" s="1" t="s">
        <v>710</v>
      </c>
      <c r="F393" t="str" cm="1">
        <f t="array" ref="F393">_xlfn.SWITCH(MID(E393,6,1),"S","Sucker","C","Crown","N","Nursery","")</f>
        <v/>
      </c>
      <c r="G393" t="str" cm="1">
        <f t="array" ref="G393">_xlfn.SWITCH(MID(E393,7,1),"S","Sedang","K","Kecil","B","Besar","")</f>
        <v/>
      </c>
    </row>
    <row r="394" spans="1:7" x14ac:dyDescent="0.3">
      <c r="A394" s="1" t="s">
        <v>393</v>
      </c>
      <c r="B394" s="1" t="s">
        <v>784</v>
      </c>
      <c r="C394" s="2">
        <v>6.51</v>
      </c>
      <c r="D394" s="1" t="s">
        <v>758</v>
      </c>
      <c r="E394" s="1" t="s">
        <v>710</v>
      </c>
      <c r="F394" t="str" cm="1">
        <f t="array" ref="F394">_xlfn.SWITCH(MID(E394,6,1),"S","Sucker","C","Crown","N","Nursery","")</f>
        <v/>
      </c>
      <c r="G394" t="str" cm="1">
        <f t="array" ref="G394">_xlfn.SWITCH(MID(E394,7,1),"S","Sedang","K","Kecil","B","Besar","")</f>
        <v/>
      </c>
    </row>
    <row r="395" spans="1:7" x14ac:dyDescent="0.3">
      <c r="A395" s="1" t="s">
        <v>394</v>
      </c>
      <c r="B395" s="1" t="s">
        <v>784</v>
      </c>
      <c r="C395" s="2">
        <v>5.35</v>
      </c>
      <c r="D395" s="1" t="s">
        <v>742</v>
      </c>
      <c r="E395" s="1" t="s">
        <v>710</v>
      </c>
      <c r="F395" t="str" cm="1">
        <f t="array" ref="F395">_xlfn.SWITCH(MID(E395,6,1),"S","Sucker","C","Crown","N","Nursery","")</f>
        <v/>
      </c>
      <c r="G395" t="str" cm="1">
        <f t="array" ref="G395">_xlfn.SWITCH(MID(E395,7,1),"S","Sedang","K","Kecil","B","Besar","")</f>
        <v/>
      </c>
    </row>
    <row r="396" spans="1:7" x14ac:dyDescent="0.3">
      <c r="A396" s="1" t="s">
        <v>395</v>
      </c>
      <c r="B396" s="1" t="s">
        <v>784</v>
      </c>
      <c r="C396" s="2">
        <v>7.57</v>
      </c>
      <c r="D396" s="1" t="s">
        <v>732</v>
      </c>
      <c r="E396" s="1" t="s">
        <v>710</v>
      </c>
      <c r="F396" t="str" cm="1">
        <f t="array" ref="F396">_xlfn.SWITCH(MID(E396,6,1),"S","Sucker","C","Crown","N","Nursery","")</f>
        <v/>
      </c>
      <c r="G396" t="str" cm="1">
        <f t="array" ref="G396">_xlfn.SWITCH(MID(E396,7,1),"S","Sedang","K","Kecil","B","Besar","")</f>
        <v/>
      </c>
    </row>
    <row r="397" spans="1:7" x14ac:dyDescent="0.3">
      <c r="A397" s="1" t="s">
        <v>396</v>
      </c>
      <c r="B397" s="1" t="s">
        <v>784</v>
      </c>
      <c r="C397" s="2">
        <v>6.39</v>
      </c>
      <c r="D397" s="1" t="s">
        <v>731</v>
      </c>
      <c r="E397" s="1" t="s">
        <v>707</v>
      </c>
      <c r="F397" t="str" cm="1">
        <f t="array" ref="F397">_xlfn.SWITCH(MID(E397,6,1),"S","Sucker","C","Crown","N","Nursery","")</f>
        <v>Sucker</v>
      </c>
      <c r="G397" t="str" cm="1">
        <f t="array" ref="G397">_xlfn.SWITCH(MID(E397,7,1),"S","Sedang","K","Kecil","B","Besar","")</f>
        <v>Sedang</v>
      </c>
    </row>
    <row r="398" spans="1:7" x14ac:dyDescent="0.3">
      <c r="A398" s="1" t="s">
        <v>397</v>
      </c>
      <c r="B398" s="1" t="s">
        <v>784</v>
      </c>
      <c r="C398" s="2">
        <v>11.32</v>
      </c>
      <c r="D398" s="1" t="s">
        <v>731</v>
      </c>
      <c r="E398" s="1" t="s">
        <v>711</v>
      </c>
      <c r="F398" t="str" cm="1">
        <f t="array" ref="F398">_xlfn.SWITCH(MID(E398,6,1),"S","Sucker","C","Crown","N","Nursery","")</f>
        <v>Crown</v>
      </c>
      <c r="G398" t="str" cm="1">
        <f t="array" ref="G398">_xlfn.SWITCH(MID(E398,7,1),"S","Sedang","K","Kecil","B","Besar","")</f>
        <v>Kecil</v>
      </c>
    </row>
    <row r="399" spans="1:7" x14ac:dyDescent="0.3">
      <c r="A399" s="1" t="s">
        <v>398</v>
      </c>
      <c r="B399" s="1" t="s">
        <v>784</v>
      </c>
      <c r="C399" s="2">
        <v>10.8</v>
      </c>
      <c r="D399" s="1" t="s">
        <v>760</v>
      </c>
      <c r="E399" s="1" t="s">
        <v>710</v>
      </c>
      <c r="F399" t="str" cm="1">
        <f t="array" ref="F399">_xlfn.SWITCH(MID(E399,6,1),"S","Sucker","C","Crown","N","Nursery","")</f>
        <v/>
      </c>
      <c r="G399" t="str" cm="1">
        <f t="array" ref="G399">_xlfn.SWITCH(MID(E399,7,1),"S","Sedang","K","Kecil","B","Besar","")</f>
        <v/>
      </c>
    </row>
    <row r="400" spans="1:7" x14ac:dyDescent="0.3">
      <c r="A400" s="1" t="s">
        <v>399</v>
      </c>
      <c r="B400" s="1" t="s">
        <v>784</v>
      </c>
      <c r="C400" s="2">
        <v>7.73</v>
      </c>
      <c r="D400" s="1" t="s">
        <v>713</v>
      </c>
      <c r="E400" s="1" t="s">
        <v>710</v>
      </c>
      <c r="F400" t="str" cm="1">
        <f t="array" ref="F400">_xlfn.SWITCH(MID(E400,6,1),"S","Sucker","C","Crown","N","Nursery","")</f>
        <v/>
      </c>
      <c r="G400" t="str" cm="1">
        <f t="array" ref="G400">_xlfn.SWITCH(MID(E400,7,1),"S","Sedang","K","Kecil","B","Besar","")</f>
        <v/>
      </c>
    </row>
    <row r="401" spans="1:7" x14ac:dyDescent="0.3">
      <c r="A401" s="1" t="s">
        <v>400</v>
      </c>
      <c r="B401" s="1" t="s">
        <v>784</v>
      </c>
      <c r="C401" s="2">
        <v>9.41</v>
      </c>
      <c r="D401" s="1" t="s">
        <v>730</v>
      </c>
      <c r="E401" s="1" t="s">
        <v>710</v>
      </c>
      <c r="F401" t="str" cm="1">
        <f t="array" ref="F401">_xlfn.SWITCH(MID(E401,6,1),"S","Sucker","C","Crown","N","Nursery","")</f>
        <v/>
      </c>
      <c r="G401" t="str" cm="1">
        <f t="array" ref="G401">_xlfn.SWITCH(MID(E401,7,1),"S","Sedang","K","Kecil","B","Besar","")</f>
        <v/>
      </c>
    </row>
    <row r="402" spans="1:7" x14ac:dyDescent="0.3">
      <c r="A402" s="1" t="s">
        <v>401</v>
      </c>
      <c r="B402" s="1" t="s">
        <v>784</v>
      </c>
      <c r="C402" s="2">
        <v>5.67</v>
      </c>
      <c r="D402" s="1" t="s">
        <v>756</v>
      </c>
      <c r="E402" s="1" t="s">
        <v>734</v>
      </c>
      <c r="F402" t="str" cm="1">
        <f t="array" ref="F402">_xlfn.SWITCH(MID(E402,6,1),"S","Sucker","C","Crown","N","Nursery","")</f>
        <v>Sucker</v>
      </c>
      <c r="G402" t="str" cm="1">
        <f t="array" ref="G402">_xlfn.SWITCH(MID(E402,7,1),"S","Sedang","K","Kecil","B","Besar","")</f>
        <v>Kecil</v>
      </c>
    </row>
    <row r="403" spans="1:7" x14ac:dyDescent="0.3">
      <c r="A403" s="1" t="s">
        <v>402</v>
      </c>
      <c r="B403" s="1" t="s">
        <v>784</v>
      </c>
      <c r="C403" s="2">
        <v>2.37</v>
      </c>
      <c r="D403" s="1" t="s">
        <v>708</v>
      </c>
      <c r="E403" s="1" t="s">
        <v>727</v>
      </c>
      <c r="F403" t="str" cm="1">
        <f t="array" ref="F403">_xlfn.SWITCH(MID(E403,6,1),"S","Sucker","C","Crown","N","Nursery","")</f>
        <v>Sucker</v>
      </c>
      <c r="G403" t="str" cm="1">
        <f t="array" ref="G403">_xlfn.SWITCH(MID(E403,7,1),"S","Sedang","K","Kecil","B","Besar","")</f>
        <v>Besar</v>
      </c>
    </row>
    <row r="404" spans="1:7" x14ac:dyDescent="0.3">
      <c r="A404" s="1" t="s">
        <v>403</v>
      </c>
      <c r="B404" s="1" t="s">
        <v>784</v>
      </c>
      <c r="C404" s="2">
        <v>5.87</v>
      </c>
      <c r="D404" s="1" t="s">
        <v>708</v>
      </c>
      <c r="E404" s="1" t="s">
        <v>707</v>
      </c>
      <c r="F404" t="str" cm="1">
        <f t="array" ref="F404">_xlfn.SWITCH(MID(E404,6,1),"S","Sucker","C","Crown","N","Nursery","")</f>
        <v>Sucker</v>
      </c>
      <c r="G404" t="str" cm="1">
        <f t="array" ref="G404">_xlfn.SWITCH(MID(E404,7,1),"S","Sedang","K","Kecil","B","Besar","")</f>
        <v>Sedang</v>
      </c>
    </row>
    <row r="405" spans="1:7" x14ac:dyDescent="0.3">
      <c r="A405" s="1" t="s">
        <v>404</v>
      </c>
      <c r="B405" s="1" t="s">
        <v>784</v>
      </c>
      <c r="C405" s="2">
        <v>3.11</v>
      </c>
      <c r="D405" s="1" t="s">
        <v>708</v>
      </c>
      <c r="E405" s="1" t="s">
        <v>707</v>
      </c>
      <c r="F405" t="str" cm="1">
        <f t="array" ref="F405">_xlfn.SWITCH(MID(E405,6,1),"S","Sucker","C","Crown","N","Nursery","")</f>
        <v>Sucker</v>
      </c>
      <c r="G405" t="str" cm="1">
        <f t="array" ref="G405">_xlfn.SWITCH(MID(E405,7,1),"S","Sedang","K","Kecil","B","Besar","")</f>
        <v>Sedang</v>
      </c>
    </row>
    <row r="406" spans="1:7" x14ac:dyDescent="0.3">
      <c r="A406" s="1" t="s">
        <v>405</v>
      </c>
      <c r="B406" s="1" t="s">
        <v>784</v>
      </c>
      <c r="C406" s="2">
        <v>3.73</v>
      </c>
      <c r="D406" s="1" t="s">
        <v>757</v>
      </c>
      <c r="E406" s="1" t="s">
        <v>710</v>
      </c>
      <c r="F406" t="str" cm="1">
        <f t="array" ref="F406">_xlfn.SWITCH(MID(E406,6,1),"S","Sucker","C","Crown","N","Nursery","")</f>
        <v/>
      </c>
      <c r="G406" t="str" cm="1">
        <f t="array" ref="G406">_xlfn.SWITCH(MID(E406,7,1),"S","Sedang","K","Kecil","B","Besar","")</f>
        <v/>
      </c>
    </row>
    <row r="407" spans="1:7" x14ac:dyDescent="0.3">
      <c r="A407" s="1" t="s">
        <v>406</v>
      </c>
      <c r="B407" s="1" t="s">
        <v>784</v>
      </c>
      <c r="C407" s="2">
        <v>5.82</v>
      </c>
      <c r="D407" s="1" t="s">
        <v>725</v>
      </c>
      <c r="E407" s="1" t="s">
        <v>710</v>
      </c>
      <c r="F407" t="str" cm="1">
        <f t="array" ref="F407">_xlfn.SWITCH(MID(E407,6,1),"S","Sucker","C","Crown","N","Nursery","")</f>
        <v/>
      </c>
      <c r="G407" t="str" cm="1">
        <f t="array" ref="G407">_xlfn.SWITCH(MID(E407,7,1),"S","Sedang","K","Kecil","B","Besar","")</f>
        <v/>
      </c>
    </row>
    <row r="408" spans="1:7" x14ac:dyDescent="0.3">
      <c r="A408" s="1" t="s">
        <v>407</v>
      </c>
      <c r="B408" s="1" t="s">
        <v>784</v>
      </c>
      <c r="C408" s="2">
        <v>5.21</v>
      </c>
      <c r="D408" s="1" t="s">
        <v>757</v>
      </c>
      <c r="E408" s="1" t="s">
        <v>710</v>
      </c>
      <c r="F408" t="str" cm="1">
        <f t="array" ref="F408">_xlfn.SWITCH(MID(E408,6,1),"S","Sucker","C","Crown","N","Nursery","")</f>
        <v/>
      </c>
      <c r="G408" t="str" cm="1">
        <f t="array" ref="G408">_xlfn.SWITCH(MID(E408,7,1),"S","Sedang","K","Kecil","B","Besar","")</f>
        <v/>
      </c>
    </row>
    <row r="409" spans="1:7" x14ac:dyDescent="0.3">
      <c r="A409" s="1" t="s">
        <v>408</v>
      </c>
      <c r="B409" s="1" t="s">
        <v>784</v>
      </c>
      <c r="C409" s="2">
        <v>5.3</v>
      </c>
      <c r="D409" s="1" t="s">
        <v>716</v>
      </c>
      <c r="E409" s="1" t="s">
        <v>710</v>
      </c>
      <c r="F409" t="str" cm="1">
        <f t="array" ref="F409">_xlfn.SWITCH(MID(E409,6,1),"S","Sucker","C","Crown","N","Nursery","")</f>
        <v/>
      </c>
      <c r="G409" t="str" cm="1">
        <f t="array" ref="G409">_xlfn.SWITCH(MID(E409,7,1),"S","Sedang","K","Kecil","B","Besar","")</f>
        <v/>
      </c>
    </row>
    <row r="410" spans="1:7" x14ac:dyDescent="0.3">
      <c r="A410" s="1" t="s">
        <v>409</v>
      </c>
      <c r="B410" s="1" t="s">
        <v>784</v>
      </c>
      <c r="C410" s="2">
        <v>8.1199999999999992</v>
      </c>
      <c r="D410" s="1" t="s">
        <v>730</v>
      </c>
      <c r="E410" s="1" t="s">
        <v>710</v>
      </c>
      <c r="F410" t="str" cm="1">
        <f t="array" ref="F410">_xlfn.SWITCH(MID(E410,6,1),"S","Sucker","C","Crown","N","Nursery","")</f>
        <v/>
      </c>
      <c r="G410" t="str" cm="1">
        <f t="array" ref="G410">_xlfn.SWITCH(MID(E410,7,1),"S","Sedang","K","Kecil","B","Besar","")</f>
        <v/>
      </c>
    </row>
    <row r="411" spans="1:7" x14ac:dyDescent="0.3">
      <c r="A411" s="1" t="s">
        <v>410</v>
      </c>
      <c r="B411" s="1" t="s">
        <v>784</v>
      </c>
      <c r="C411" s="2">
        <v>4.42</v>
      </c>
      <c r="D411" s="1" t="s">
        <v>718</v>
      </c>
      <c r="E411" s="1" t="s">
        <v>710</v>
      </c>
      <c r="F411" t="str" cm="1">
        <f t="array" ref="F411">_xlfn.SWITCH(MID(E411,6,1),"S","Sucker","C","Crown","N","Nursery","")</f>
        <v/>
      </c>
      <c r="G411" t="str" cm="1">
        <f t="array" ref="G411">_xlfn.SWITCH(MID(E411,7,1),"S","Sedang","K","Kecil","B","Besar","")</f>
        <v/>
      </c>
    </row>
    <row r="412" spans="1:7" x14ac:dyDescent="0.3">
      <c r="A412" s="1" t="s">
        <v>411</v>
      </c>
      <c r="B412" s="1" t="s">
        <v>784</v>
      </c>
      <c r="C412" s="2">
        <v>6.81</v>
      </c>
      <c r="D412" s="1" t="s">
        <v>746</v>
      </c>
      <c r="E412" s="1" t="s">
        <v>710</v>
      </c>
      <c r="F412" t="str" cm="1">
        <f t="array" ref="F412">_xlfn.SWITCH(MID(E412,6,1),"S","Sucker","C","Crown","N","Nursery","")</f>
        <v/>
      </c>
      <c r="G412" t="str" cm="1">
        <f t="array" ref="G412">_xlfn.SWITCH(MID(E412,7,1),"S","Sedang","K","Kecil","B","Besar","")</f>
        <v/>
      </c>
    </row>
    <row r="413" spans="1:7" x14ac:dyDescent="0.3">
      <c r="A413" s="1" t="s">
        <v>412</v>
      </c>
      <c r="B413" s="1" t="s">
        <v>784</v>
      </c>
      <c r="C413" s="2">
        <v>5.25</v>
      </c>
      <c r="D413" s="1" t="s">
        <v>731</v>
      </c>
      <c r="E413" s="1" t="s">
        <v>707</v>
      </c>
      <c r="F413" t="str" cm="1">
        <f t="array" ref="F413">_xlfn.SWITCH(MID(E413,6,1),"S","Sucker","C","Crown","N","Nursery","")</f>
        <v>Sucker</v>
      </c>
      <c r="G413" t="str" cm="1">
        <f t="array" ref="G413">_xlfn.SWITCH(MID(E413,7,1),"S","Sedang","K","Kecil","B","Besar","")</f>
        <v>Sedang</v>
      </c>
    </row>
    <row r="414" spans="1:7" x14ac:dyDescent="0.3">
      <c r="A414" s="1" t="s">
        <v>413</v>
      </c>
      <c r="B414" s="1" t="s">
        <v>784</v>
      </c>
      <c r="C414" s="2">
        <v>7.58</v>
      </c>
      <c r="D414" s="1" t="s">
        <v>731</v>
      </c>
      <c r="E414" s="1" t="s">
        <v>707</v>
      </c>
      <c r="F414" t="str" cm="1">
        <f t="array" ref="F414">_xlfn.SWITCH(MID(E414,6,1),"S","Sucker","C","Crown","N","Nursery","")</f>
        <v>Sucker</v>
      </c>
      <c r="G414" t="str" cm="1">
        <f t="array" ref="G414">_xlfn.SWITCH(MID(E414,7,1),"S","Sedang","K","Kecil","B","Besar","")</f>
        <v>Sedang</v>
      </c>
    </row>
    <row r="415" spans="1:7" x14ac:dyDescent="0.3">
      <c r="A415" s="1" t="s">
        <v>414</v>
      </c>
      <c r="B415" s="1" t="s">
        <v>784</v>
      </c>
      <c r="C415" s="2">
        <v>5.0599999999999996</v>
      </c>
      <c r="D415" s="1" t="s">
        <v>718</v>
      </c>
      <c r="E415" s="1" t="s">
        <v>710</v>
      </c>
      <c r="F415" t="str" cm="1">
        <f t="array" ref="F415">_xlfn.SWITCH(MID(E415,6,1),"S","Sucker","C","Crown","N","Nursery","")</f>
        <v/>
      </c>
      <c r="G415" t="str" cm="1">
        <f t="array" ref="G415">_xlfn.SWITCH(MID(E415,7,1),"S","Sedang","K","Kecil","B","Besar","")</f>
        <v/>
      </c>
    </row>
    <row r="416" spans="1:7" x14ac:dyDescent="0.3">
      <c r="A416" s="1" t="s">
        <v>415</v>
      </c>
      <c r="B416" s="1" t="s">
        <v>784</v>
      </c>
      <c r="C416" s="2">
        <v>4.2699999999999996</v>
      </c>
      <c r="D416" s="1" t="s">
        <v>726</v>
      </c>
      <c r="E416" s="1" t="s">
        <v>734</v>
      </c>
      <c r="F416" t="str" cm="1">
        <f t="array" ref="F416">_xlfn.SWITCH(MID(E416,6,1),"S","Sucker","C","Crown","N","Nursery","")</f>
        <v>Sucker</v>
      </c>
      <c r="G416" t="str" cm="1">
        <f t="array" ref="G416">_xlfn.SWITCH(MID(E416,7,1),"S","Sedang","K","Kecil","B","Besar","")</f>
        <v>Kecil</v>
      </c>
    </row>
    <row r="417" spans="1:7" x14ac:dyDescent="0.3">
      <c r="A417" s="1" t="s">
        <v>416</v>
      </c>
      <c r="B417" s="1" t="s">
        <v>784</v>
      </c>
      <c r="C417" s="2">
        <v>4.91</v>
      </c>
      <c r="D417" s="1" t="s">
        <v>718</v>
      </c>
      <c r="E417" s="1" t="s">
        <v>710</v>
      </c>
      <c r="F417" t="str" cm="1">
        <f t="array" ref="F417">_xlfn.SWITCH(MID(E417,6,1),"S","Sucker","C","Crown","N","Nursery","")</f>
        <v/>
      </c>
      <c r="G417" t="str" cm="1">
        <f t="array" ref="G417">_xlfn.SWITCH(MID(E417,7,1),"S","Sedang","K","Kecil","B","Besar","")</f>
        <v/>
      </c>
    </row>
    <row r="418" spans="1:7" x14ac:dyDescent="0.3">
      <c r="A418" s="1" t="s">
        <v>417</v>
      </c>
      <c r="B418" s="1" t="s">
        <v>784</v>
      </c>
      <c r="C418" s="2">
        <v>4.5599999999999996</v>
      </c>
      <c r="D418" s="1" t="s">
        <v>746</v>
      </c>
      <c r="E418" s="1" t="s">
        <v>710</v>
      </c>
      <c r="F418" t="str" cm="1">
        <f t="array" ref="F418">_xlfn.SWITCH(MID(E418,6,1),"S","Sucker","C","Crown","N","Nursery","")</f>
        <v/>
      </c>
      <c r="G418" t="str" cm="1">
        <f t="array" ref="G418">_xlfn.SWITCH(MID(E418,7,1),"S","Sedang","K","Kecil","B","Besar","")</f>
        <v/>
      </c>
    </row>
    <row r="419" spans="1:7" x14ac:dyDescent="0.3">
      <c r="A419" s="1" t="s">
        <v>418</v>
      </c>
      <c r="B419" s="1" t="s">
        <v>784</v>
      </c>
      <c r="C419" s="2">
        <v>13.79</v>
      </c>
      <c r="D419" s="1" t="s">
        <v>789</v>
      </c>
      <c r="E419" s="1" t="s">
        <v>710</v>
      </c>
      <c r="F419" t="str" cm="1">
        <f t="array" ref="F419">_xlfn.SWITCH(MID(E419,6,1),"S","Sucker","C","Crown","N","Nursery","")</f>
        <v/>
      </c>
      <c r="G419" t="str" cm="1">
        <f t="array" ref="G419">_xlfn.SWITCH(MID(E419,7,1),"S","Sedang","K","Kecil","B","Besar","")</f>
        <v/>
      </c>
    </row>
    <row r="420" spans="1:7" x14ac:dyDescent="0.3">
      <c r="A420" s="1" t="s">
        <v>419</v>
      </c>
      <c r="B420" s="1" t="s">
        <v>784</v>
      </c>
      <c r="C420" s="2">
        <v>6.65</v>
      </c>
      <c r="D420" s="1" t="s">
        <v>719</v>
      </c>
      <c r="E420" s="1" t="s">
        <v>711</v>
      </c>
      <c r="F420" t="str" cm="1">
        <f t="array" ref="F420">_xlfn.SWITCH(MID(E420,6,1),"S","Sucker","C","Crown","N","Nursery","")</f>
        <v>Crown</v>
      </c>
      <c r="G420" t="str" cm="1">
        <f t="array" ref="G420">_xlfn.SWITCH(MID(E420,7,1),"S","Sedang","K","Kecil","B","Besar","")</f>
        <v>Kecil</v>
      </c>
    </row>
    <row r="421" spans="1:7" x14ac:dyDescent="0.3">
      <c r="A421" s="1" t="s">
        <v>420</v>
      </c>
      <c r="B421" s="1" t="s">
        <v>784</v>
      </c>
      <c r="C421" s="2">
        <v>7.15</v>
      </c>
      <c r="D421" s="1" t="s">
        <v>716</v>
      </c>
      <c r="E421" s="1" t="s">
        <v>710</v>
      </c>
      <c r="F421" t="str" cm="1">
        <f t="array" ref="F421">_xlfn.SWITCH(MID(E421,6,1),"S","Sucker","C","Crown","N","Nursery","")</f>
        <v/>
      </c>
      <c r="G421" t="str" cm="1">
        <f t="array" ref="G421">_xlfn.SWITCH(MID(E421,7,1),"S","Sedang","K","Kecil","B","Besar","")</f>
        <v/>
      </c>
    </row>
    <row r="422" spans="1:7" x14ac:dyDescent="0.3">
      <c r="A422" s="1" t="s">
        <v>421</v>
      </c>
      <c r="B422" s="1" t="s">
        <v>784</v>
      </c>
      <c r="C422" s="2">
        <v>4.33</v>
      </c>
      <c r="D422" s="1" t="s">
        <v>730</v>
      </c>
      <c r="E422" s="1" t="s">
        <v>710</v>
      </c>
      <c r="F422" t="str" cm="1">
        <f t="array" ref="F422">_xlfn.SWITCH(MID(E422,6,1),"S","Sucker","C","Crown","N","Nursery","")</f>
        <v/>
      </c>
      <c r="G422" t="str" cm="1">
        <f t="array" ref="G422">_xlfn.SWITCH(MID(E422,7,1),"S","Sedang","K","Kecil","B","Besar","")</f>
        <v/>
      </c>
    </row>
    <row r="423" spans="1:7" x14ac:dyDescent="0.3">
      <c r="A423" s="1" t="s">
        <v>422</v>
      </c>
      <c r="B423" s="1" t="s">
        <v>784</v>
      </c>
      <c r="C423" s="2">
        <v>10.39</v>
      </c>
      <c r="D423" s="1" t="s">
        <v>755</v>
      </c>
      <c r="E423" s="1" t="s">
        <v>710</v>
      </c>
      <c r="F423" t="str" cm="1">
        <f t="array" ref="F423">_xlfn.SWITCH(MID(E423,6,1),"S","Sucker","C","Crown","N","Nursery","")</f>
        <v/>
      </c>
      <c r="G423" t="str" cm="1">
        <f t="array" ref="G423">_xlfn.SWITCH(MID(E423,7,1),"S","Sedang","K","Kecil","B","Besar","")</f>
        <v/>
      </c>
    </row>
    <row r="424" spans="1:7" x14ac:dyDescent="0.3">
      <c r="A424" s="1" t="s">
        <v>423</v>
      </c>
      <c r="B424" s="1" t="s">
        <v>784</v>
      </c>
      <c r="C424" s="2">
        <v>11.08</v>
      </c>
      <c r="D424" s="1" t="s">
        <v>713</v>
      </c>
      <c r="E424" s="1" t="s">
        <v>710</v>
      </c>
      <c r="F424" t="str" cm="1">
        <f t="array" ref="F424">_xlfn.SWITCH(MID(E424,6,1),"S","Sucker","C","Crown","N","Nursery","")</f>
        <v/>
      </c>
      <c r="G424" t="str" cm="1">
        <f t="array" ref="G424">_xlfn.SWITCH(MID(E424,7,1),"S","Sedang","K","Kecil","B","Besar","")</f>
        <v/>
      </c>
    </row>
    <row r="425" spans="1:7" x14ac:dyDescent="0.3">
      <c r="A425" s="1" t="s">
        <v>424</v>
      </c>
      <c r="B425" s="1" t="s">
        <v>784</v>
      </c>
      <c r="C425" s="2">
        <v>6.15</v>
      </c>
      <c r="D425" s="1" t="s">
        <v>725</v>
      </c>
      <c r="E425" s="1" t="s">
        <v>710</v>
      </c>
      <c r="F425" t="str" cm="1">
        <f t="array" ref="F425">_xlfn.SWITCH(MID(E425,6,1),"S","Sucker","C","Crown","N","Nursery","")</f>
        <v/>
      </c>
      <c r="G425" t="str" cm="1">
        <f t="array" ref="G425">_xlfn.SWITCH(MID(E425,7,1),"S","Sedang","K","Kecil","B","Besar","")</f>
        <v/>
      </c>
    </row>
    <row r="426" spans="1:7" x14ac:dyDescent="0.3">
      <c r="A426" s="1" t="s">
        <v>425</v>
      </c>
      <c r="B426" s="1" t="s">
        <v>784</v>
      </c>
      <c r="C426" s="2">
        <v>7.54</v>
      </c>
      <c r="D426" s="1" t="s">
        <v>723</v>
      </c>
      <c r="E426" s="1" t="s">
        <v>710</v>
      </c>
      <c r="F426" t="str" cm="1">
        <f t="array" ref="F426">_xlfn.SWITCH(MID(E426,6,1),"S","Sucker","C","Crown","N","Nursery","")</f>
        <v/>
      </c>
      <c r="G426" t="str" cm="1">
        <f t="array" ref="G426">_xlfn.SWITCH(MID(E426,7,1),"S","Sedang","K","Kecil","B","Besar","")</f>
        <v/>
      </c>
    </row>
    <row r="427" spans="1:7" x14ac:dyDescent="0.3">
      <c r="A427" s="1" t="s">
        <v>426</v>
      </c>
      <c r="B427" s="1" t="s">
        <v>784</v>
      </c>
      <c r="C427" s="2">
        <v>8.3699999999999992</v>
      </c>
      <c r="D427" s="1" t="s">
        <v>745</v>
      </c>
      <c r="E427" s="1" t="s">
        <v>710</v>
      </c>
      <c r="F427" t="str" cm="1">
        <f t="array" ref="F427">_xlfn.SWITCH(MID(E427,6,1),"S","Sucker","C","Crown","N","Nursery","")</f>
        <v/>
      </c>
      <c r="G427" t="str" cm="1">
        <f t="array" ref="G427">_xlfn.SWITCH(MID(E427,7,1),"S","Sedang","K","Kecil","B","Besar","")</f>
        <v/>
      </c>
    </row>
    <row r="428" spans="1:7" x14ac:dyDescent="0.3">
      <c r="A428" s="1" t="s">
        <v>427</v>
      </c>
      <c r="B428" s="1" t="s">
        <v>784</v>
      </c>
      <c r="C428" s="2">
        <v>9.26</v>
      </c>
      <c r="D428" s="1" t="s">
        <v>731</v>
      </c>
      <c r="E428" s="1" t="s">
        <v>711</v>
      </c>
      <c r="F428" t="str" cm="1">
        <f t="array" ref="F428">_xlfn.SWITCH(MID(E428,6,1),"S","Sucker","C","Crown","N","Nursery","")</f>
        <v>Crown</v>
      </c>
      <c r="G428" t="str" cm="1">
        <f t="array" ref="G428">_xlfn.SWITCH(MID(E428,7,1),"S","Sedang","K","Kecil","B","Besar","")</f>
        <v>Kecil</v>
      </c>
    </row>
    <row r="429" spans="1:7" x14ac:dyDescent="0.3">
      <c r="A429" s="1" t="s">
        <v>428</v>
      </c>
      <c r="B429" s="1" t="s">
        <v>784</v>
      </c>
      <c r="C429" s="2">
        <v>8.8800000000000008</v>
      </c>
      <c r="D429" s="1" t="s">
        <v>737</v>
      </c>
      <c r="E429" s="1" t="s">
        <v>707</v>
      </c>
      <c r="F429" t="str" cm="1">
        <f t="array" ref="F429">_xlfn.SWITCH(MID(E429,6,1),"S","Sucker","C","Crown","N","Nursery","")</f>
        <v>Sucker</v>
      </c>
      <c r="G429" t="str" cm="1">
        <f t="array" ref="G429">_xlfn.SWITCH(MID(E429,7,1),"S","Sedang","K","Kecil","B","Besar","")</f>
        <v>Sedang</v>
      </c>
    </row>
    <row r="430" spans="1:7" x14ac:dyDescent="0.3">
      <c r="A430" s="1" t="s">
        <v>429</v>
      </c>
      <c r="B430" s="1" t="s">
        <v>784</v>
      </c>
      <c r="C430" s="2">
        <v>4.04</v>
      </c>
      <c r="D430" s="1" t="s">
        <v>750</v>
      </c>
      <c r="E430" s="1" t="s">
        <v>710</v>
      </c>
      <c r="F430" t="str" cm="1">
        <f t="array" ref="F430">_xlfn.SWITCH(MID(E430,6,1),"S","Sucker","C","Crown","N","Nursery","")</f>
        <v/>
      </c>
      <c r="G430" t="str" cm="1">
        <f t="array" ref="G430">_xlfn.SWITCH(MID(E430,7,1),"S","Sedang","K","Kecil","B","Besar","")</f>
        <v/>
      </c>
    </row>
    <row r="431" spans="1:7" x14ac:dyDescent="0.3">
      <c r="A431" s="1" t="s">
        <v>430</v>
      </c>
      <c r="B431" s="1" t="s">
        <v>784</v>
      </c>
      <c r="C431" s="2">
        <v>6.56</v>
      </c>
      <c r="D431" s="1" t="s">
        <v>723</v>
      </c>
      <c r="E431" s="1" t="s">
        <v>710</v>
      </c>
      <c r="F431" t="str" cm="1">
        <f t="array" ref="F431">_xlfn.SWITCH(MID(E431,6,1),"S","Sucker","C","Crown","N","Nursery","")</f>
        <v/>
      </c>
      <c r="G431" t="str" cm="1">
        <f t="array" ref="G431">_xlfn.SWITCH(MID(E431,7,1),"S","Sedang","K","Kecil","B","Besar","")</f>
        <v/>
      </c>
    </row>
    <row r="432" spans="1:7" x14ac:dyDescent="0.3">
      <c r="A432" s="1" t="s">
        <v>431</v>
      </c>
      <c r="B432" s="1" t="s">
        <v>784</v>
      </c>
      <c r="C432" s="2">
        <v>3.74</v>
      </c>
      <c r="D432" s="1" t="s">
        <v>717</v>
      </c>
      <c r="E432" s="1" t="s">
        <v>711</v>
      </c>
      <c r="F432" t="str" cm="1">
        <f t="array" ref="F432">_xlfn.SWITCH(MID(E432,6,1),"S","Sucker","C","Crown","N","Nursery","")</f>
        <v>Crown</v>
      </c>
      <c r="G432" t="str" cm="1">
        <f t="array" ref="G432">_xlfn.SWITCH(MID(E432,7,1),"S","Sedang","K","Kecil","B","Besar","")</f>
        <v>Kecil</v>
      </c>
    </row>
    <row r="433" spans="1:7" x14ac:dyDescent="0.3">
      <c r="A433" s="1" t="s">
        <v>432</v>
      </c>
      <c r="B433" s="1" t="s">
        <v>784</v>
      </c>
      <c r="C433" s="2">
        <v>6.31</v>
      </c>
      <c r="D433" s="1" t="s">
        <v>719</v>
      </c>
      <c r="E433" s="1" t="s">
        <v>734</v>
      </c>
      <c r="F433" t="str" cm="1">
        <f t="array" ref="F433">_xlfn.SWITCH(MID(E433,6,1),"S","Sucker","C","Crown","N","Nursery","")</f>
        <v>Sucker</v>
      </c>
      <c r="G433" t="str" cm="1">
        <f t="array" ref="G433">_xlfn.SWITCH(MID(E433,7,1),"S","Sedang","K","Kecil","B","Besar","")</f>
        <v>Kecil</v>
      </c>
    </row>
    <row r="434" spans="1:7" x14ac:dyDescent="0.3">
      <c r="A434" s="1" t="s">
        <v>433</v>
      </c>
      <c r="B434" s="1" t="s">
        <v>784</v>
      </c>
      <c r="C434" s="2">
        <v>1.44</v>
      </c>
      <c r="D434" s="1" t="s">
        <v>720</v>
      </c>
      <c r="E434" s="1" t="s">
        <v>727</v>
      </c>
      <c r="F434" t="str" cm="1">
        <f t="array" ref="F434">_xlfn.SWITCH(MID(E434,6,1),"S","Sucker","C","Crown","N","Nursery","")</f>
        <v>Sucker</v>
      </c>
      <c r="G434" t="str" cm="1">
        <f t="array" ref="G434">_xlfn.SWITCH(MID(E434,7,1),"S","Sedang","K","Kecil","B","Besar","")</f>
        <v>Besar</v>
      </c>
    </row>
    <row r="435" spans="1:7" x14ac:dyDescent="0.3">
      <c r="A435" s="1" t="s">
        <v>434</v>
      </c>
      <c r="B435" s="1" t="s">
        <v>784</v>
      </c>
      <c r="C435" s="3">
        <v>2</v>
      </c>
      <c r="D435" s="1" t="s">
        <v>720</v>
      </c>
      <c r="E435" s="1" t="s">
        <v>734</v>
      </c>
      <c r="F435" t="str" cm="1">
        <f t="array" ref="F435">_xlfn.SWITCH(MID(E435,6,1),"S","Sucker","C","Crown","N","Nursery","")</f>
        <v>Sucker</v>
      </c>
      <c r="G435" t="str" cm="1">
        <f t="array" ref="G435">_xlfn.SWITCH(MID(E435,7,1),"S","Sedang","K","Kecil","B","Besar","")</f>
        <v>Kecil</v>
      </c>
    </row>
    <row r="436" spans="1:7" x14ac:dyDescent="0.3">
      <c r="A436" s="1" t="s">
        <v>435</v>
      </c>
      <c r="B436" s="1" t="s">
        <v>784</v>
      </c>
      <c r="C436" s="2">
        <v>3.41</v>
      </c>
      <c r="D436" s="1" t="s">
        <v>720</v>
      </c>
      <c r="E436" s="1" t="s">
        <v>707</v>
      </c>
      <c r="F436" t="str" cm="1">
        <f t="array" ref="F436">_xlfn.SWITCH(MID(E436,6,1),"S","Sucker","C","Crown","N","Nursery","")</f>
        <v>Sucker</v>
      </c>
      <c r="G436" t="str" cm="1">
        <f t="array" ref="G436">_xlfn.SWITCH(MID(E436,7,1),"S","Sedang","K","Kecil","B","Besar","")</f>
        <v>Sedang</v>
      </c>
    </row>
    <row r="437" spans="1:7" x14ac:dyDescent="0.3">
      <c r="A437" s="1" t="s">
        <v>436</v>
      </c>
      <c r="B437" s="1" t="s">
        <v>784</v>
      </c>
      <c r="C437" s="2">
        <v>5.69</v>
      </c>
      <c r="D437" s="1" t="s">
        <v>735</v>
      </c>
      <c r="E437" s="1" t="s">
        <v>727</v>
      </c>
      <c r="F437" t="str" cm="1">
        <f t="array" ref="F437">_xlfn.SWITCH(MID(E437,6,1),"S","Sucker","C","Crown","N","Nursery","")</f>
        <v>Sucker</v>
      </c>
      <c r="G437" t="str" cm="1">
        <f t="array" ref="G437">_xlfn.SWITCH(MID(E437,7,1),"S","Sedang","K","Kecil","B","Besar","")</f>
        <v>Besar</v>
      </c>
    </row>
    <row r="438" spans="1:7" x14ac:dyDescent="0.3">
      <c r="A438" s="1" t="s">
        <v>437</v>
      </c>
      <c r="B438" s="1" t="s">
        <v>784</v>
      </c>
      <c r="C438" s="2">
        <v>7.19</v>
      </c>
      <c r="D438" s="1" t="s">
        <v>720</v>
      </c>
      <c r="E438" s="1" t="s">
        <v>707</v>
      </c>
      <c r="F438" t="str" cm="1">
        <f t="array" ref="F438">_xlfn.SWITCH(MID(E438,6,1),"S","Sucker","C","Crown","N","Nursery","")</f>
        <v>Sucker</v>
      </c>
      <c r="G438" t="str" cm="1">
        <f t="array" ref="G438">_xlfn.SWITCH(MID(E438,7,1),"S","Sedang","K","Kecil","B","Besar","")</f>
        <v>Sedang</v>
      </c>
    </row>
    <row r="439" spans="1:7" x14ac:dyDescent="0.3">
      <c r="A439" s="1" t="s">
        <v>438</v>
      </c>
      <c r="B439" s="1" t="s">
        <v>784</v>
      </c>
      <c r="C439" s="2">
        <v>6.25</v>
      </c>
      <c r="D439" s="1" t="s">
        <v>740</v>
      </c>
      <c r="E439" s="1" t="s">
        <v>710</v>
      </c>
      <c r="F439" t="str" cm="1">
        <f t="array" ref="F439">_xlfn.SWITCH(MID(E439,6,1),"S","Sucker","C","Crown","N","Nursery","")</f>
        <v/>
      </c>
      <c r="G439" t="str" cm="1">
        <f t="array" ref="G439">_xlfn.SWITCH(MID(E439,7,1),"S","Sedang","K","Kecil","B","Besar","")</f>
        <v/>
      </c>
    </row>
    <row r="440" spans="1:7" x14ac:dyDescent="0.3">
      <c r="A440" s="1" t="s">
        <v>439</v>
      </c>
      <c r="B440" s="1" t="s">
        <v>784</v>
      </c>
      <c r="C440" s="2">
        <v>4.6900000000000004</v>
      </c>
      <c r="D440" s="1" t="s">
        <v>760</v>
      </c>
      <c r="E440" s="1" t="s">
        <v>710</v>
      </c>
      <c r="F440" t="str" cm="1">
        <f t="array" ref="F440">_xlfn.SWITCH(MID(E440,6,1),"S","Sucker","C","Crown","N","Nursery","")</f>
        <v/>
      </c>
      <c r="G440" t="str" cm="1">
        <f t="array" ref="G440">_xlfn.SWITCH(MID(E440,7,1),"S","Sedang","K","Kecil","B","Besar","")</f>
        <v/>
      </c>
    </row>
    <row r="441" spans="1:7" x14ac:dyDescent="0.3">
      <c r="A441" s="1" t="s">
        <v>440</v>
      </c>
      <c r="B441" s="1" t="s">
        <v>784</v>
      </c>
      <c r="C441" s="2">
        <v>8.3699999999999992</v>
      </c>
      <c r="D441" s="1" t="s">
        <v>735</v>
      </c>
      <c r="E441" s="1" t="s">
        <v>707</v>
      </c>
      <c r="F441" t="str" cm="1">
        <f t="array" ref="F441">_xlfn.SWITCH(MID(E441,6,1),"S","Sucker","C","Crown","N","Nursery","")</f>
        <v>Sucker</v>
      </c>
      <c r="G441" t="str" cm="1">
        <f t="array" ref="G441">_xlfn.SWITCH(MID(E441,7,1),"S","Sedang","K","Kecil","B","Besar","")</f>
        <v>Sedang</v>
      </c>
    </row>
    <row r="442" spans="1:7" x14ac:dyDescent="0.3">
      <c r="A442" s="1" t="s">
        <v>441</v>
      </c>
      <c r="B442" s="1" t="s">
        <v>790</v>
      </c>
      <c r="C442" s="2">
        <v>9.8699999999999992</v>
      </c>
      <c r="D442" s="1" t="s">
        <v>741</v>
      </c>
      <c r="E442" s="1" t="s">
        <v>710</v>
      </c>
      <c r="F442" t="str" cm="1">
        <f t="array" ref="F442">_xlfn.SWITCH(MID(E442,6,1),"S","Sucker","C","Crown","N","Nursery","")</f>
        <v/>
      </c>
      <c r="G442" t="str" cm="1">
        <f t="array" ref="G442">_xlfn.SWITCH(MID(E442,7,1),"S","Sedang","K","Kecil","B","Besar","")</f>
        <v/>
      </c>
    </row>
    <row r="443" spans="1:7" x14ac:dyDescent="0.3">
      <c r="A443" s="1" t="s">
        <v>442</v>
      </c>
      <c r="B443" s="1" t="s">
        <v>790</v>
      </c>
      <c r="C443" s="2">
        <v>6.32</v>
      </c>
      <c r="D443" s="1" t="s">
        <v>786</v>
      </c>
      <c r="E443" s="1" t="s">
        <v>710</v>
      </c>
      <c r="F443" t="str" cm="1">
        <f t="array" ref="F443">_xlfn.SWITCH(MID(E443,6,1),"S","Sucker","C","Crown","N","Nursery","")</f>
        <v/>
      </c>
      <c r="G443" t="str" cm="1">
        <f t="array" ref="G443">_xlfn.SWITCH(MID(E443,7,1),"S","Sedang","K","Kecil","B","Besar","")</f>
        <v/>
      </c>
    </row>
    <row r="444" spans="1:7" x14ac:dyDescent="0.3">
      <c r="A444" s="1" t="s">
        <v>443</v>
      </c>
      <c r="B444" s="1" t="s">
        <v>790</v>
      </c>
      <c r="C444" s="2">
        <v>0.6</v>
      </c>
      <c r="D444" s="1" t="s">
        <v>786</v>
      </c>
      <c r="E444" s="1" t="s">
        <v>710</v>
      </c>
      <c r="F444" t="str" cm="1">
        <f t="array" ref="F444">_xlfn.SWITCH(MID(E444,6,1),"S","Sucker","C","Crown","N","Nursery","")</f>
        <v/>
      </c>
      <c r="G444" t="str" cm="1">
        <f t="array" ref="G444">_xlfn.SWITCH(MID(E444,7,1),"S","Sedang","K","Kecil","B","Besar","")</f>
        <v/>
      </c>
    </row>
    <row r="445" spans="1:7" x14ac:dyDescent="0.3">
      <c r="A445" s="1" t="s">
        <v>444</v>
      </c>
      <c r="B445" s="1" t="s">
        <v>790</v>
      </c>
      <c r="C445" s="2">
        <v>9.24</v>
      </c>
      <c r="D445" s="1" t="s">
        <v>760</v>
      </c>
      <c r="E445" s="1" t="s">
        <v>710</v>
      </c>
      <c r="F445" t="str" cm="1">
        <f t="array" ref="F445">_xlfn.SWITCH(MID(E445,6,1),"S","Sucker","C","Crown","N","Nursery","")</f>
        <v/>
      </c>
      <c r="G445" t="str" cm="1">
        <f t="array" ref="G445">_xlfn.SWITCH(MID(E445,7,1),"S","Sedang","K","Kecil","B","Besar","")</f>
        <v/>
      </c>
    </row>
    <row r="446" spans="1:7" x14ac:dyDescent="0.3">
      <c r="A446" s="1" t="s">
        <v>445</v>
      </c>
      <c r="B446" s="1" t="s">
        <v>790</v>
      </c>
      <c r="C446" s="2">
        <v>9.82</v>
      </c>
      <c r="D446" s="1" t="s">
        <v>760</v>
      </c>
      <c r="E446" s="1" t="s">
        <v>710</v>
      </c>
      <c r="F446" t="str" cm="1">
        <f t="array" ref="F446">_xlfn.SWITCH(MID(E446,6,1),"S","Sucker","C","Crown","N","Nursery","")</f>
        <v/>
      </c>
      <c r="G446" t="str" cm="1">
        <f t="array" ref="G446">_xlfn.SWITCH(MID(E446,7,1),"S","Sedang","K","Kecil","B","Besar","")</f>
        <v/>
      </c>
    </row>
    <row r="447" spans="1:7" x14ac:dyDescent="0.3">
      <c r="A447" s="1" t="s">
        <v>446</v>
      </c>
      <c r="B447" s="1" t="s">
        <v>790</v>
      </c>
      <c r="C447" s="2">
        <v>13.55</v>
      </c>
      <c r="D447" s="1" t="s">
        <v>730</v>
      </c>
      <c r="E447" s="1" t="s">
        <v>710</v>
      </c>
      <c r="F447" t="str" cm="1">
        <f t="array" ref="F447">_xlfn.SWITCH(MID(E447,6,1),"S","Sucker","C","Crown","N","Nursery","")</f>
        <v/>
      </c>
      <c r="G447" t="str" cm="1">
        <f t="array" ref="G447">_xlfn.SWITCH(MID(E447,7,1),"S","Sedang","K","Kecil","B","Besar","")</f>
        <v/>
      </c>
    </row>
    <row r="448" spans="1:7" x14ac:dyDescent="0.3">
      <c r="A448" s="1" t="s">
        <v>447</v>
      </c>
      <c r="B448" s="1" t="s">
        <v>790</v>
      </c>
      <c r="C448" s="2">
        <v>5.97</v>
      </c>
      <c r="D448" s="1" t="s">
        <v>715</v>
      </c>
      <c r="E448" s="1" t="s">
        <v>710</v>
      </c>
      <c r="F448" t="str" cm="1">
        <f t="array" ref="F448">_xlfn.SWITCH(MID(E448,6,1),"S","Sucker","C","Crown","N","Nursery","")</f>
        <v/>
      </c>
      <c r="G448" t="str" cm="1">
        <f t="array" ref="G448">_xlfn.SWITCH(MID(E448,7,1),"S","Sedang","K","Kecil","B","Besar","")</f>
        <v/>
      </c>
    </row>
    <row r="449" spans="1:7" x14ac:dyDescent="0.3">
      <c r="A449" s="1" t="s">
        <v>448</v>
      </c>
      <c r="B449" s="1" t="s">
        <v>790</v>
      </c>
      <c r="C449" s="2">
        <v>5.33</v>
      </c>
      <c r="D449" s="1" t="s">
        <v>730</v>
      </c>
      <c r="E449" s="1" t="s">
        <v>710</v>
      </c>
      <c r="F449" t="str" cm="1">
        <f t="array" ref="F449">_xlfn.SWITCH(MID(E449,6,1),"S","Sucker","C","Crown","N","Nursery","")</f>
        <v/>
      </c>
      <c r="G449" t="str" cm="1">
        <f t="array" ref="G449">_xlfn.SWITCH(MID(E449,7,1),"S","Sedang","K","Kecil","B","Besar","")</f>
        <v/>
      </c>
    </row>
    <row r="450" spans="1:7" x14ac:dyDescent="0.3">
      <c r="A450" s="1" t="s">
        <v>449</v>
      </c>
      <c r="B450" s="1" t="s">
        <v>790</v>
      </c>
      <c r="C450" s="2">
        <v>6.61</v>
      </c>
      <c r="D450" s="1" t="s">
        <v>741</v>
      </c>
      <c r="E450" s="1" t="s">
        <v>710</v>
      </c>
      <c r="F450" t="str" cm="1">
        <f t="array" ref="F450">_xlfn.SWITCH(MID(E450,6,1),"S","Sucker","C","Crown","N","Nursery","")</f>
        <v/>
      </c>
      <c r="G450" t="str" cm="1">
        <f t="array" ref="G450">_xlfn.SWITCH(MID(E450,7,1),"S","Sedang","K","Kecil","B","Besar","")</f>
        <v/>
      </c>
    </row>
    <row r="451" spans="1:7" x14ac:dyDescent="0.3">
      <c r="A451" s="1" t="s">
        <v>450</v>
      </c>
      <c r="B451" s="1" t="s">
        <v>790</v>
      </c>
      <c r="C451" s="2">
        <v>10.02</v>
      </c>
      <c r="D451" s="1" t="s">
        <v>746</v>
      </c>
      <c r="E451" s="1" t="s">
        <v>710</v>
      </c>
      <c r="F451" t="str" cm="1">
        <f t="array" ref="F451">_xlfn.SWITCH(MID(E451,6,1),"S","Sucker","C","Crown","N","Nursery","")</f>
        <v/>
      </c>
      <c r="G451" t="str" cm="1">
        <f t="array" ref="G451">_xlfn.SWITCH(MID(E451,7,1),"S","Sedang","K","Kecil","B","Besar","")</f>
        <v/>
      </c>
    </row>
    <row r="452" spans="1:7" x14ac:dyDescent="0.3">
      <c r="A452" s="1" t="s">
        <v>451</v>
      </c>
      <c r="B452" s="1" t="s">
        <v>790</v>
      </c>
      <c r="C452" s="2">
        <v>4.3600000000000003</v>
      </c>
      <c r="D452" s="1" t="s">
        <v>732</v>
      </c>
      <c r="E452" s="1" t="s">
        <v>710</v>
      </c>
      <c r="F452" t="str" cm="1">
        <f t="array" ref="F452">_xlfn.SWITCH(MID(E452,6,1),"S","Sucker","C","Crown","N","Nursery","")</f>
        <v/>
      </c>
      <c r="G452" t="str" cm="1">
        <f t="array" ref="G452">_xlfn.SWITCH(MID(E452,7,1),"S","Sedang","K","Kecil","B","Besar","")</f>
        <v/>
      </c>
    </row>
    <row r="453" spans="1:7" x14ac:dyDescent="0.3">
      <c r="A453" s="1" t="s">
        <v>452</v>
      </c>
      <c r="B453" s="1" t="s">
        <v>790</v>
      </c>
      <c r="C453" s="2">
        <v>11.1</v>
      </c>
      <c r="D453" s="1" t="s">
        <v>725</v>
      </c>
      <c r="E453" s="1" t="s">
        <v>710</v>
      </c>
      <c r="F453" t="str" cm="1">
        <f t="array" ref="F453">_xlfn.SWITCH(MID(E453,6,1),"S","Sucker","C","Crown","N","Nursery","")</f>
        <v/>
      </c>
      <c r="G453" t="str" cm="1">
        <f t="array" ref="G453">_xlfn.SWITCH(MID(E453,7,1),"S","Sedang","K","Kecil","B","Besar","")</f>
        <v/>
      </c>
    </row>
    <row r="454" spans="1:7" x14ac:dyDescent="0.3">
      <c r="A454" s="1" t="s">
        <v>453</v>
      </c>
      <c r="B454" s="1" t="s">
        <v>790</v>
      </c>
      <c r="C454" s="2">
        <v>8.2200000000000006</v>
      </c>
      <c r="D454" s="1" t="s">
        <v>713</v>
      </c>
      <c r="E454" s="1" t="s">
        <v>710</v>
      </c>
      <c r="F454" t="str" cm="1">
        <f t="array" ref="F454">_xlfn.SWITCH(MID(E454,6,1),"S","Sucker","C","Crown","N","Nursery","")</f>
        <v/>
      </c>
      <c r="G454" t="str" cm="1">
        <f t="array" ref="G454">_xlfn.SWITCH(MID(E454,7,1),"S","Sedang","K","Kecil","B","Besar","")</f>
        <v/>
      </c>
    </row>
    <row r="455" spans="1:7" x14ac:dyDescent="0.3">
      <c r="A455" s="1" t="s">
        <v>454</v>
      </c>
      <c r="B455" s="1" t="s">
        <v>790</v>
      </c>
      <c r="C455" s="2">
        <v>7.95</v>
      </c>
      <c r="D455" s="1" t="s">
        <v>746</v>
      </c>
      <c r="E455" s="1" t="s">
        <v>710</v>
      </c>
      <c r="F455" t="str" cm="1">
        <f t="array" ref="F455">_xlfn.SWITCH(MID(E455,6,1),"S","Sucker","C","Crown","N","Nursery","")</f>
        <v/>
      </c>
      <c r="G455" t="str" cm="1">
        <f t="array" ref="G455">_xlfn.SWITCH(MID(E455,7,1),"S","Sedang","K","Kecil","B","Besar","")</f>
        <v/>
      </c>
    </row>
    <row r="456" spans="1:7" x14ac:dyDescent="0.3">
      <c r="A456" s="1" t="s">
        <v>455</v>
      </c>
      <c r="B456" s="1" t="s">
        <v>790</v>
      </c>
      <c r="C456" s="2">
        <v>12.15</v>
      </c>
      <c r="D456" s="1" t="s">
        <v>737</v>
      </c>
      <c r="E456" s="1" t="s">
        <v>711</v>
      </c>
      <c r="F456" t="str" cm="1">
        <f t="array" ref="F456">_xlfn.SWITCH(MID(E456,6,1),"S","Sucker","C","Crown","N","Nursery","")</f>
        <v>Crown</v>
      </c>
      <c r="G456" t="str" cm="1">
        <f t="array" ref="G456">_xlfn.SWITCH(MID(E456,7,1),"S","Sedang","K","Kecil","B","Besar","")</f>
        <v>Kecil</v>
      </c>
    </row>
    <row r="457" spans="1:7" x14ac:dyDescent="0.3">
      <c r="A457" s="1" t="s">
        <v>456</v>
      </c>
      <c r="B457" s="1" t="s">
        <v>790</v>
      </c>
      <c r="C457" s="2">
        <v>8.18</v>
      </c>
      <c r="D457" s="1" t="s">
        <v>763</v>
      </c>
      <c r="E457" s="1" t="s">
        <v>710</v>
      </c>
      <c r="F457" t="str" cm="1">
        <f t="array" ref="F457">_xlfn.SWITCH(MID(E457,6,1),"S","Sucker","C","Crown","N","Nursery","")</f>
        <v/>
      </c>
      <c r="G457" t="str" cm="1">
        <f t="array" ref="G457">_xlfn.SWITCH(MID(E457,7,1),"S","Sedang","K","Kecil","B","Besar","")</f>
        <v/>
      </c>
    </row>
    <row r="458" spans="1:7" x14ac:dyDescent="0.3">
      <c r="A458" s="1" t="s">
        <v>457</v>
      </c>
      <c r="B458" s="1" t="s">
        <v>790</v>
      </c>
      <c r="C458" s="2">
        <v>6.24</v>
      </c>
      <c r="D458" s="1" t="s">
        <v>746</v>
      </c>
      <c r="E458" s="1" t="s">
        <v>710</v>
      </c>
      <c r="F458" t="str" cm="1">
        <f t="array" ref="F458">_xlfn.SWITCH(MID(E458,6,1),"S","Sucker","C","Crown","N","Nursery","")</f>
        <v/>
      </c>
      <c r="G458" t="str" cm="1">
        <f t="array" ref="G458">_xlfn.SWITCH(MID(E458,7,1),"S","Sedang","K","Kecil","B","Besar","")</f>
        <v/>
      </c>
    </row>
    <row r="459" spans="1:7" x14ac:dyDescent="0.3">
      <c r="A459" s="1" t="s">
        <v>458</v>
      </c>
      <c r="B459" s="1" t="s">
        <v>790</v>
      </c>
      <c r="C459" s="2">
        <v>6.36</v>
      </c>
      <c r="D459" s="1" t="s">
        <v>746</v>
      </c>
      <c r="E459" s="1" t="s">
        <v>710</v>
      </c>
      <c r="F459" t="str" cm="1">
        <f t="array" ref="F459">_xlfn.SWITCH(MID(E459,6,1),"S","Sucker","C","Crown","N","Nursery","")</f>
        <v/>
      </c>
      <c r="G459" t="str" cm="1">
        <f t="array" ref="G459">_xlfn.SWITCH(MID(E459,7,1),"S","Sedang","K","Kecil","B","Besar","")</f>
        <v/>
      </c>
    </row>
    <row r="460" spans="1:7" x14ac:dyDescent="0.3">
      <c r="A460" s="1" t="s">
        <v>459</v>
      </c>
      <c r="B460" s="1" t="s">
        <v>790</v>
      </c>
      <c r="C460" s="2">
        <v>8.4499999999999993</v>
      </c>
      <c r="D460" s="1" t="s">
        <v>746</v>
      </c>
      <c r="E460" s="1" t="s">
        <v>710</v>
      </c>
      <c r="F460" t="str" cm="1">
        <f t="array" ref="F460">_xlfn.SWITCH(MID(E460,6,1),"S","Sucker","C","Crown","N","Nursery","")</f>
        <v/>
      </c>
      <c r="G460" t="str" cm="1">
        <f t="array" ref="G460">_xlfn.SWITCH(MID(E460,7,1),"S","Sedang","K","Kecil","B","Besar","")</f>
        <v/>
      </c>
    </row>
    <row r="461" spans="1:7" x14ac:dyDescent="0.3">
      <c r="A461" s="1" t="s">
        <v>460</v>
      </c>
      <c r="B461" s="1" t="s">
        <v>790</v>
      </c>
      <c r="C461" s="2">
        <v>3.37</v>
      </c>
      <c r="D461" s="1" t="s">
        <v>738</v>
      </c>
      <c r="E461" s="1" t="s">
        <v>707</v>
      </c>
      <c r="F461" t="str" cm="1">
        <f t="array" ref="F461">_xlfn.SWITCH(MID(E461,6,1),"S","Sucker","C","Crown","N","Nursery","")</f>
        <v>Sucker</v>
      </c>
      <c r="G461" t="str" cm="1">
        <f t="array" ref="G461">_xlfn.SWITCH(MID(E461,7,1),"S","Sedang","K","Kecil","B","Besar","")</f>
        <v>Sedang</v>
      </c>
    </row>
    <row r="462" spans="1:7" x14ac:dyDescent="0.3">
      <c r="A462" s="1" t="s">
        <v>461</v>
      </c>
      <c r="B462" s="1" t="s">
        <v>790</v>
      </c>
      <c r="C462" s="2">
        <v>1.97</v>
      </c>
      <c r="D462" s="1" t="s">
        <v>758</v>
      </c>
      <c r="E462" s="1" t="s">
        <v>710</v>
      </c>
      <c r="F462" t="str" cm="1">
        <f t="array" ref="F462">_xlfn.SWITCH(MID(E462,6,1),"S","Sucker","C","Crown","N","Nursery","")</f>
        <v/>
      </c>
      <c r="G462" t="str" cm="1">
        <f t="array" ref="G462">_xlfn.SWITCH(MID(E462,7,1),"S","Sedang","K","Kecil","B","Besar","")</f>
        <v/>
      </c>
    </row>
    <row r="463" spans="1:7" x14ac:dyDescent="0.3">
      <c r="A463" s="1" t="s">
        <v>462</v>
      </c>
      <c r="B463" s="1" t="s">
        <v>790</v>
      </c>
      <c r="C463" s="2">
        <v>6.25</v>
      </c>
      <c r="D463" s="1" t="s">
        <v>755</v>
      </c>
      <c r="E463" s="1" t="s">
        <v>710</v>
      </c>
      <c r="F463" t="str" cm="1">
        <f t="array" ref="F463">_xlfn.SWITCH(MID(E463,6,1),"S","Sucker","C","Crown","N","Nursery","")</f>
        <v/>
      </c>
      <c r="G463" t="str" cm="1">
        <f t="array" ref="G463">_xlfn.SWITCH(MID(E463,7,1),"S","Sedang","K","Kecil","B","Besar","")</f>
        <v/>
      </c>
    </row>
    <row r="464" spans="1:7" x14ac:dyDescent="0.3">
      <c r="A464" s="1" t="s">
        <v>463</v>
      </c>
      <c r="B464" s="1" t="s">
        <v>790</v>
      </c>
      <c r="C464" s="2">
        <v>1.45</v>
      </c>
      <c r="D464" s="1" t="s">
        <v>718</v>
      </c>
      <c r="E464" s="1" t="s">
        <v>710</v>
      </c>
      <c r="F464" t="str" cm="1">
        <f t="array" ref="F464">_xlfn.SWITCH(MID(E464,6,1),"S","Sucker","C","Crown","N","Nursery","")</f>
        <v/>
      </c>
      <c r="G464" t="str" cm="1">
        <f t="array" ref="G464">_xlfn.SWITCH(MID(E464,7,1),"S","Sedang","K","Kecil","B","Besar","")</f>
        <v/>
      </c>
    </row>
    <row r="465" spans="1:7" x14ac:dyDescent="0.3">
      <c r="A465" s="1" t="s">
        <v>464</v>
      </c>
      <c r="B465" s="1" t="s">
        <v>790</v>
      </c>
      <c r="C465" s="2">
        <v>7.78</v>
      </c>
      <c r="D465" s="1" t="s">
        <v>718</v>
      </c>
      <c r="E465" s="1" t="s">
        <v>710</v>
      </c>
      <c r="F465" t="str" cm="1">
        <f t="array" ref="F465">_xlfn.SWITCH(MID(E465,6,1),"S","Sucker","C","Crown","N","Nursery","")</f>
        <v/>
      </c>
      <c r="G465" t="str" cm="1">
        <f t="array" ref="G465">_xlfn.SWITCH(MID(E465,7,1),"S","Sedang","K","Kecil","B","Besar","")</f>
        <v/>
      </c>
    </row>
    <row r="466" spans="1:7" x14ac:dyDescent="0.3">
      <c r="A466" s="1" t="s">
        <v>465</v>
      </c>
      <c r="B466" s="1" t="s">
        <v>790</v>
      </c>
      <c r="C466" s="2">
        <v>4.78</v>
      </c>
      <c r="D466" s="1" t="s">
        <v>742</v>
      </c>
      <c r="E466" s="1" t="s">
        <v>710</v>
      </c>
      <c r="F466" t="str" cm="1">
        <f t="array" ref="F466">_xlfn.SWITCH(MID(E466,6,1),"S","Sucker","C","Crown","N","Nursery","")</f>
        <v/>
      </c>
      <c r="G466" t="str" cm="1">
        <f t="array" ref="G466">_xlfn.SWITCH(MID(E466,7,1),"S","Sedang","K","Kecil","B","Besar","")</f>
        <v/>
      </c>
    </row>
    <row r="467" spans="1:7" x14ac:dyDescent="0.3">
      <c r="A467" s="1" t="s">
        <v>466</v>
      </c>
      <c r="B467" s="1" t="s">
        <v>790</v>
      </c>
      <c r="C467" s="2">
        <v>9.94</v>
      </c>
      <c r="D467" s="1" t="s">
        <v>720</v>
      </c>
      <c r="E467" s="1" t="s">
        <v>707</v>
      </c>
      <c r="F467" t="str" cm="1">
        <f t="array" ref="F467">_xlfn.SWITCH(MID(E467,6,1),"S","Sucker","C","Crown","N","Nursery","")</f>
        <v>Sucker</v>
      </c>
      <c r="G467" t="str" cm="1">
        <f t="array" ref="G467">_xlfn.SWITCH(MID(E467,7,1),"S","Sedang","K","Kecil","B","Besar","")</f>
        <v>Sedang</v>
      </c>
    </row>
    <row r="468" spans="1:7" x14ac:dyDescent="0.3">
      <c r="A468" s="1" t="s">
        <v>467</v>
      </c>
      <c r="B468" s="1" t="s">
        <v>790</v>
      </c>
      <c r="C468" s="2">
        <v>3.23</v>
      </c>
      <c r="D468" s="1" t="s">
        <v>713</v>
      </c>
      <c r="E468" s="1" t="s">
        <v>710</v>
      </c>
      <c r="F468" t="str" cm="1">
        <f t="array" ref="F468">_xlfn.SWITCH(MID(E468,6,1),"S","Sucker","C","Crown","N","Nursery","")</f>
        <v/>
      </c>
      <c r="G468" t="str" cm="1">
        <f t="array" ref="G468">_xlfn.SWITCH(MID(E468,7,1),"S","Sedang","K","Kecil","B","Besar","")</f>
        <v/>
      </c>
    </row>
    <row r="469" spans="1:7" x14ac:dyDescent="0.3">
      <c r="A469" s="1" t="s">
        <v>468</v>
      </c>
      <c r="B469" s="1" t="s">
        <v>790</v>
      </c>
      <c r="C469" s="2">
        <v>9.93</v>
      </c>
      <c r="D469" s="1" t="s">
        <v>725</v>
      </c>
      <c r="E469" s="1" t="s">
        <v>710</v>
      </c>
      <c r="F469" t="str" cm="1">
        <f t="array" ref="F469">_xlfn.SWITCH(MID(E469,6,1),"S","Sucker","C","Crown","N","Nursery","")</f>
        <v/>
      </c>
      <c r="G469" t="str" cm="1">
        <f t="array" ref="G469">_xlfn.SWITCH(MID(E469,7,1),"S","Sedang","K","Kecil","B","Besar","")</f>
        <v/>
      </c>
    </row>
    <row r="470" spans="1:7" x14ac:dyDescent="0.3">
      <c r="A470" s="1" t="s">
        <v>469</v>
      </c>
      <c r="B470" s="1" t="s">
        <v>790</v>
      </c>
      <c r="C470" s="2">
        <v>10.210000000000001</v>
      </c>
      <c r="D470" s="1" t="s">
        <v>716</v>
      </c>
      <c r="E470" s="1" t="s">
        <v>710</v>
      </c>
      <c r="F470" t="str" cm="1">
        <f t="array" ref="F470">_xlfn.SWITCH(MID(E470,6,1),"S","Sucker","C","Crown","N","Nursery","")</f>
        <v/>
      </c>
      <c r="G470" t="str" cm="1">
        <f t="array" ref="G470">_xlfn.SWITCH(MID(E470,7,1),"S","Sedang","K","Kecil","B","Besar","")</f>
        <v/>
      </c>
    </row>
    <row r="471" spans="1:7" x14ac:dyDescent="0.3">
      <c r="A471" s="1" t="s">
        <v>470</v>
      </c>
      <c r="B471" s="1" t="s">
        <v>790</v>
      </c>
      <c r="C471" s="2">
        <v>10.57</v>
      </c>
      <c r="D471" s="1" t="s">
        <v>738</v>
      </c>
      <c r="E471" s="1" t="s">
        <v>711</v>
      </c>
      <c r="F471" t="str" cm="1">
        <f t="array" ref="F471">_xlfn.SWITCH(MID(E471,6,1),"S","Sucker","C","Crown","N","Nursery","")</f>
        <v>Crown</v>
      </c>
      <c r="G471" t="str" cm="1">
        <f t="array" ref="G471">_xlfn.SWITCH(MID(E471,7,1),"S","Sedang","K","Kecil","B","Besar","")</f>
        <v>Kecil</v>
      </c>
    </row>
    <row r="472" spans="1:7" x14ac:dyDescent="0.3">
      <c r="A472" s="1" t="s">
        <v>471</v>
      </c>
      <c r="B472" s="1" t="s">
        <v>790</v>
      </c>
      <c r="C472" s="2">
        <v>10.58</v>
      </c>
      <c r="D472" s="1" t="s">
        <v>763</v>
      </c>
      <c r="E472" s="1" t="s">
        <v>710</v>
      </c>
      <c r="F472" t="str" cm="1">
        <f t="array" ref="F472">_xlfn.SWITCH(MID(E472,6,1),"S","Sucker","C","Crown","N","Nursery","")</f>
        <v/>
      </c>
      <c r="G472" t="str" cm="1">
        <f t="array" ref="G472">_xlfn.SWITCH(MID(E472,7,1),"S","Sedang","K","Kecil","B","Besar","")</f>
        <v/>
      </c>
    </row>
    <row r="473" spans="1:7" x14ac:dyDescent="0.3">
      <c r="A473" s="1" t="s">
        <v>472</v>
      </c>
      <c r="B473" s="1" t="s">
        <v>790</v>
      </c>
      <c r="C473" s="2">
        <v>6.83</v>
      </c>
      <c r="D473" s="1" t="s">
        <v>786</v>
      </c>
      <c r="E473" s="1" t="s">
        <v>710</v>
      </c>
      <c r="F473" t="str" cm="1">
        <f t="array" ref="F473">_xlfn.SWITCH(MID(E473,6,1),"S","Sucker","C","Crown","N","Nursery","")</f>
        <v/>
      </c>
      <c r="G473" t="str" cm="1">
        <f t="array" ref="G473">_xlfn.SWITCH(MID(E473,7,1),"S","Sedang","K","Kecil","B","Besar","")</f>
        <v/>
      </c>
    </row>
    <row r="474" spans="1:7" x14ac:dyDescent="0.3">
      <c r="A474" s="1" t="s">
        <v>473</v>
      </c>
      <c r="B474" s="1" t="s">
        <v>790</v>
      </c>
      <c r="C474" s="2">
        <v>10.91</v>
      </c>
      <c r="D474" s="1" t="s">
        <v>742</v>
      </c>
      <c r="E474" s="1" t="s">
        <v>710</v>
      </c>
      <c r="F474" t="str" cm="1">
        <f t="array" ref="F474">_xlfn.SWITCH(MID(E474,6,1),"S","Sucker","C","Crown","N","Nursery","")</f>
        <v/>
      </c>
      <c r="G474" t="str" cm="1">
        <f t="array" ref="G474">_xlfn.SWITCH(MID(E474,7,1),"S","Sedang","K","Kecil","B","Besar","")</f>
        <v/>
      </c>
    </row>
    <row r="475" spans="1:7" x14ac:dyDescent="0.3">
      <c r="A475" s="1" t="s">
        <v>474</v>
      </c>
      <c r="B475" s="1" t="s">
        <v>790</v>
      </c>
      <c r="C475" s="2">
        <v>6.14</v>
      </c>
      <c r="D475" s="1" t="s">
        <v>760</v>
      </c>
      <c r="E475" s="1" t="s">
        <v>710</v>
      </c>
      <c r="F475" t="str" cm="1">
        <f t="array" ref="F475">_xlfn.SWITCH(MID(E475,6,1),"S","Sucker","C","Crown","N","Nursery","")</f>
        <v/>
      </c>
      <c r="G475" t="str" cm="1">
        <f t="array" ref="G475">_xlfn.SWITCH(MID(E475,7,1),"S","Sedang","K","Kecil","B","Besar","")</f>
        <v/>
      </c>
    </row>
    <row r="476" spans="1:7" x14ac:dyDescent="0.3">
      <c r="A476" s="1" t="s">
        <v>475</v>
      </c>
      <c r="B476" s="1" t="s">
        <v>790</v>
      </c>
      <c r="C476" s="2">
        <v>9.39</v>
      </c>
      <c r="D476" s="1" t="s">
        <v>722</v>
      </c>
      <c r="E476" s="1" t="s">
        <v>710</v>
      </c>
      <c r="F476" t="str" cm="1">
        <f t="array" ref="F476">_xlfn.SWITCH(MID(E476,6,1),"S","Sucker","C","Crown","N","Nursery","")</f>
        <v/>
      </c>
      <c r="G476" t="str" cm="1">
        <f t="array" ref="G476">_xlfn.SWITCH(MID(E476,7,1),"S","Sedang","K","Kecil","B","Besar","")</f>
        <v/>
      </c>
    </row>
    <row r="477" spans="1:7" x14ac:dyDescent="0.3">
      <c r="A477" s="1" t="s">
        <v>476</v>
      </c>
      <c r="B477" s="1" t="s">
        <v>790</v>
      </c>
      <c r="C477" s="2">
        <v>5.38</v>
      </c>
      <c r="D477" s="1" t="s">
        <v>725</v>
      </c>
      <c r="E477" s="1" t="s">
        <v>710</v>
      </c>
      <c r="F477" t="str" cm="1">
        <f t="array" ref="F477">_xlfn.SWITCH(MID(E477,6,1),"S","Sucker","C","Crown","N","Nursery","")</f>
        <v/>
      </c>
      <c r="G477" t="str" cm="1">
        <f t="array" ref="G477">_xlfn.SWITCH(MID(E477,7,1),"S","Sedang","K","Kecil","B","Besar","")</f>
        <v/>
      </c>
    </row>
    <row r="478" spans="1:7" x14ac:dyDescent="0.3">
      <c r="A478" s="1" t="s">
        <v>477</v>
      </c>
      <c r="B478" s="1" t="s">
        <v>790</v>
      </c>
      <c r="C478" s="2">
        <v>3.56</v>
      </c>
      <c r="D478" s="1" t="s">
        <v>750</v>
      </c>
      <c r="E478" s="1" t="s">
        <v>710</v>
      </c>
      <c r="F478" t="str" cm="1">
        <f t="array" ref="F478">_xlfn.SWITCH(MID(E478,6,1),"S","Sucker","C","Crown","N","Nursery","")</f>
        <v/>
      </c>
      <c r="G478" t="str" cm="1">
        <f t="array" ref="G478">_xlfn.SWITCH(MID(E478,7,1),"S","Sedang","K","Kecil","B","Besar","")</f>
        <v/>
      </c>
    </row>
    <row r="479" spans="1:7" x14ac:dyDescent="0.3">
      <c r="A479" s="1" t="s">
        <v>478</v>
      </c>
      <c r="B479" s="1" t="s">
        <v>790</v>
      </c>
      <c r="C479" s="2">
        <v>5.77</v>
      </c>
      <c r="D479" s="1" t="s">
        <v>757</v>
      </c>
      <c r="E479" s="1" t="s">
        <v>710</v>
      </c>
      <c r="F479" t="str" cm="1">
        <f t="array" ref="F479">_xlfn.SWITCH(MID(E479,6,1),"S","Sucker","C","Crown","N","Nursery","")</f>
        <v/>
      </c>
      <c r="G479" t="str" cm="1">
        <f t="array" ref="G479">_xlfn.SWITCH(MID(E479,7,1),"S","Sedang","K","Kecil","B","Besar","")</f>
        <v/>
      </c>
    </row>
    <row r="480" spans="1:7" x14ac:dyDescent="0.3">
      <c r="A480" s="1" t="s">
        <v>479</v>
      </c>
      <c r="B480" s="1" t="s">
        <v>790</v>
      </c>
      <c r="C480" s="2">
        <v>6.64</v>
      </c>
      <c r="D480" s="1" t="s">
        <v>755</v>
      </c>
      <c r="E480" s="1" t="s">
        <v>710</v>
      </c>
      <c r="F480" t="str" cm="1">
        <f t="array" ref="F480">_xlfn.SWITCH(MID(E480,6,1),"S","Sucker","C","Crown","N","Nursery","")</f>
        <v/>
      </c>
      <c r="G480" t="str" cm="1">
        <f t="array" ref="G480">_xlfn.SWITCH(MID(E480,7,1),"S","Sedang","K","Kecil","B","Besar","")</f>
        <v/>
      </c>
    </row>
    <row r="481" spans="1:7" x14ac:dyDescent="0.3">
      <c r="A481" s="1" t="s">
        <v>480</v>
      </c>
      <c r="B481" s="1" t="s">
        <v>790</v>
      </c>
      <c r="C481" s="2">
        <v>4.4000000000000004</v>
      </c>
      <c r="D481" s="1" t="s">
        <v>719</v>
      </c>
      <c r="E481" s="1" t="s">
        <v>711</v>
      </c>
      <c r="F481" t="str" cm="1">
        <f t="array" ref="F481">_xlfn.SWITCH(MID(E481,6,1),"S","Sucker","C","Crown","N","Nursery","")</f>
        <v>Crown</v>
      </c>
      <c r="G481" t="str" cm="1">
        <f t="array" ref="G481">_xlfn.SWITCH(MID(E481,7,1),"S","Sedang","K","Kecil","B","Besar","")</f>
        <v>Kecil</v>
      </c>
    </row>
    <row r="482" spans="1:7" x14ac:dyDescent="0.3">
      <c r="A482" s="1" t="s">
        <v>481</v>
      </c>
      <c r="B482" s="1" t="s">
        <v>790</v>
      </c>
      <c r="C482" s="2">
        <v>13.33</v>
      </c>
      <c r="D482" s="1" t="s">
        <v>719</v>
      </c>
      <c r="E482" s="1" t="s">
        <v>711</v>
      </c>
      <c r="F482" t="str" cm="1">
        <f t="array" ref="F482">_xlfn.SWITCH(MID(E482,6,1),"S","Sucker","C","Crown","N","Nursery","")</f>
        <v>Crown</v>
      </c>
      <c r="G482" t="str" cm="1">
        <f t="array" ref="G482">_xlfn.SWITCH(MID(E482,7,1),"S","Sedang","K","Kecil","B","Besar","")</f>
        <v>Kecil</v>
      </c>
    </row>
    <row r="483" spans="1:7" x14ac:dyDescent="0.3">
      <c r="A483" s="1" t="s">
        <v>482</v>
      </c>
      <c r="B483" s="1" t="s">
        <v>790</v>
      </c>
      <c r="C483" s="2">
        <v>10.41</v>
      </c>
      <c r="D483" s="1" t="s">
        <v>740</v>
      </c>
      <c r="E483" s="1" t="s">
        <v>710</v>
      </c>
      <c r="F483" t="str" cm="1">
        <f t="array" ref="F483">_xlfn.SWITCH(MID(E483,6,1),"S","Sucker","C","Crown","N","Nursery","")</f>
        <v/>
      </c>
      <c r="G483" t="str" cm="1">
        <f t="array" ref="G483">_xlfn.SWITCH(MID(E483,7,1),"S","Sedang","K","Kecil","B","Besar","")</f>
        <v/>
      </c>
    </row>
    <row r="484" spans="1:7" x14ac:dyDescent="0.3">
      <c r="A484" s="1" t="s">
        <v>483</v>
      </c>
      <c r="B484" s="1" t="s">
        <v>790</v>
      </c>
      <c r="C484" s="2">
        <v>7.78</v>
      </c>
      <c r="D484" s="1" t="s">
        <v>714</v>
      </c>
      <c r="E484" s="1" t="s">
        <v>711</v>
      </c>
      <c r="F484" t="str" cm="1">
        <f t="array" ref="F484">_xlfn.SWITCH(MID(E484,6,1),"S","Sucker","C","Crown","N","Nursery","")</f>
        <v>Crown</v>
      </c>
      <c r="G484" t="str" cm="1">
        <f t="array" ref="G484">_xlfn.SWITCH(MID(E484,7,1),"S","Sedang","K","Kecil","B","Besar","")</f>
        <v>Kecil</v>
      </c>
    </row>
    <row r="485" spans="1:7" x14ac:dyDescent="0.3">
      <c r="A485" s="1" t="s">
        <v>484</v>
      </c>
      <c r="B485" s="1" t="s">
        <v>790</v>
      </c>
      <c r="C485" s="2">
        <v>7.13</v>
      </c>
      <c r="D485" s="1" t="s">
        <v>724</v>
      </c>
      <c r="E485" s="1" t="s">
        <v>711</v>
      </c>
      <c r="F485" t="str" cm="1">
        <f t="array" ref="F485">_xlfn.SWITCH(MID(E485,6,1),"S","Sucker","C","Crown","N","Nursery","")</f>
        <v>Crown</v>
      </c>
      <c r="G485" t="str" cm="1">
        <f t="array" ref="G485">_xlfn.SWITCH(MID(E485,7,1),"S","Sedang","K","Kecil","B","Besar","")</f>
        <v>Kecil</v>
      </c>
    </row>
    <row r="486" spans="1:7" x14ac:dyDescent="0.3">
      <c r="A486" s="1" t="s">
        <v>485</v>
      </c>
      <c r="B486" s="1" t="s">
        <v>790</v>
      </c>
      <c r="C486" s="2">
        <v>13.44</v>
      </c>
      <c r="D486" s="1" t="s">
        <v>760</v>
      </c>
      <c r="E486" s="1" t="s">
        <v>710</v>
      </c>
      <c r="F486" t="str" cm="1">
        <f t="array" ref="F486">_xlfn.SWITCH(MID(E486,6,1),"S","Sucker","C","Crown","N","Nursery","")</f>
        <v/>
      </c>
      <c r="G486" t="str" cm="1">
        <f t="array" ref="G486">_xlfn.SWITCH(MID(E486,7,1),"S","Sedang","K","Kecil","B","Besar","")</f>
        <v/>
      </c>
    </row>
    <row r="487" spans="1:7" x14ac:dyDescent="0.3">
      <c r="A487" s="1" t="s">
        <v>486</v>
      </c>
      <c r="B487" s="1" t="s">
        <v>790</v>
      </c>
      <c r="C487" s="2">
        <v>10.220000000000001</v>
      </c>
      <c r="D487" s="1" t="s">
        <v>726</v>
      </c>
      <c r="E487" s="1" t="s">
        <v>707</v>
      </c>
      <c r="F487" t="str" cm="1">
        <f t="array" ref="F487">_xlfn.SWITCH(MID(E487,6,1),"S","Sucker","C","Crown","N","Nursery","")</f>
        <v>Sucker</v>
      </c>
      <c r="G487" t="str" cm="1">
        <f t="array" ref="G487">_xlfn.SWITCH(MID(E487,7,1),"S","Sedang","K","Kecil","B","Besar","")</f>
        <v>Sedang</v>
      </c>
    </row>
    <row r="488" spans="1:7" x14ac:dyDescent="0.3">
      <c r="A488" s="1" t="s">
        <v>487</v>
      </c>
      <c r="B488" s="1" t="s">
        <v>790</v>
      </c>
      <c r="C488" s="2">
        <v>12.65</v>
      </c>
      <c r="D488" s="1" t="s">
        <v>717</v>
      </c>
      <c r="E488" s="1" t="s">
        <v>711</v>
      </c>
      <c r="F488" t="str" cm="1">
        <f t="array" ref="F488">_xlfn.SWITCH(MID(E488,6,1),"S","Sucker","C","Crown","N","Nursery","")</f>
        <v>Crown</v>
      </c>
      <c r="G488" t="str" cm="1">
        <f t="array" ref="G488">_xlfn.SWITCH(MID(E488,7,1),"S","Sedang","K","Kecil","B","Besar","")</f>
        <v>Kecil</v>
      </c>
    </row>
    <row r="489" spans="1:7" x14ac:dyDescent="0.3">
      <c r="A489" s="1" t="s">
        <v>488</v>
      </c>
      <c r="B489" s="1" t="s">
        <v>790</v>
      </c>
      <c r="C489" s="3">
        <v>12</v>
      </c>
      <c r="D489" s="1" t="s">
        <v>718</v>
      </c>
      <c r="E489" s="1" t="s">
        <v>710</v>
      </c>
      <c r="F489" t="str" cm="1">
        <f t="array" ref="F489">_xlfn.SWITCH(MID(E489,6,1),"S","Sucker","C","Crown","N","Nursery","")</f>
        <v/>
      </c>
      <c r="G489" t="str" cm="1">
        <f t="array" ref="G489">_xlfn.SWITCH(MID(E489,7,1),"S","Sedang","K","Kecil","B","Besar","")</f>
        <v/>
      </c>
    </row>
    <row r="490" spans="1:7" x14ac:dyDescent="0.3">
      <c r="A490" s="1" t="s">
        <v>489</v>
      </c>
      <c r="B490" s="1" t="s">
        <v>790</v>
      </c>
      <c r="C490" s="3">
        <v>5</v>
      </c>
      <c r="D490" s="1" t="s">
        <v>723</v>
      </c>
      <c r="E490" s="1" t="s">
        <v>710</v>
      </c>
      <c r="F490" t="str" cm="1">
        <f t="array" ref="F490">_xlfn.SWITCH(MID(E490,6,1),"S","Sucker","C","Crown","N","Nursery","")</f>
        <v/>
      </c>
      <c r="G490" t="str" cm="1">
        <f t="array" ref="G490">_xlfn.SWITCH(MID(E490,7,1),"S","Sedang","K","Kecil","B","Besar","")</f>
        <v/>
      </c>
    </row>
    <row r="491" spans="1:7" x14ac:dyDescent="0.3">
      <c r="A491" s="1" t="s">
        <v>490</v>
      </c>
      <c r="B491" s="1" t="s">
        <v>790</v>
      </c>
      <c r="C491" s="2">
        <v>8.8699999999999992</v>
      </c>
      <c r="D491" s="1" t="s">
        <v>723</v>
      </c>
      <c r="E491" s="1" t="s">
        <v>710</v>
      </c>
      <c r="F491" t="str" cm="1">
        <f t="array" ref="F491">_xlfn.SWITCH(MID(E491,6,1),"S","Sucker","C","Crown","N","Nursery","")</f>
        <v/>
      </c>
      <c r="G491" t="str" cm="1">
        <f t="array" ref="G491">_xlfn.SWITCH(MID(E491,7,1),"S","Sedang","K","Kecil","B","Besar","")</f>
        <v/>
      </c>
    </row>
    <row r="492" spans="1:7" x14ac:dyDescent="0.3">
      <c r="A492" s="1" t="s">
        <v>491</v>
      </c>
      <c r="B492" s="1" t="s">
        <v>790</v>
      </c>
      <c r="C492" s="2">
        <v>8.84</v>
      </c>
      <c r="D492" s="1" t="s">
        <v>720</v>
      </c>
      <c r="E492" s="1" t="s">
        <v>711</v>
      </c>
      <c r="F492" t="str" cm="1">
        <f t="array" ref="F492">_xlfn.SWITCH(MID(E492,6,1),"S","Sucker","C","Crown","N","Nursery","")</f>
        <v>Crown</v>
      </c>
      <c r="G492" t="str" cm="1">
        <f t="array" ref="G492">_xlfn.SWITCH(MID(E492,7,1),"S","Sedang","K","Kecil","B","Besar","")</f>
        <v>Kecil</v>
      </c>
    </row>
    <row r="493" spans="1:7" x14ac:dyDescent="0.3">
      <c r="A493" s="1" t="s">
        <v>492</v>
      </c>
      <c r="B493" s="1" t="s">
        <v>790</v>
      </c>
      <c r="C493" s="2">
        <v>6.03</v>
      </c>
      <c r="D493" s="1" t="s">
        <v>723</v>
      </c>
      <c r="E493" s="1" t="s">
        <v>710</v>
      </c>
      <c r="F493" t="str" cm="1">
        <f t="array" ref="F493">_xlfn.SWITCH(MID(E493,6,1),"S","Sucker","C","Crown","N","Nursery","")</f>
        <v/>
      </c>
      <c r="G493" t="str" cm="1">
        <f t="array" ref="G493">_xlfn.SWITCH(MID(E493,7,1),"S","Sedang","K","Kecil","B","Besar","")</f>
        <v/>
      </c>
    </row>
    <row r="494" spans="1:7" x14ac:dyDescent="0.3">
      <c r="A494" s="1" t="s">
        <v>493</v>
      </c>
      <c r="B494" s="1" t="s">
        <v>790</v>
      </c>
      <c r="C494" s="2">
        <v>7.67</v>
      </c>
      <c r="D494" s="1" t="s">
        <v>723</v>
      </c>
      <c r="E494" s="1" t="s">
        <v>710</v>
      </c>
      <c r="F494" t="str" cm="1">
        <f t="array" ref="F494">_xlfn.SWITCH(MID(E494,6,1),"S","Sucker","C","Crown","N","Nursery","")</f>
        <v/>
      </c>
      <c r="G494" t="str" cm="1">
        <f t="array" ref="G494">_xlfn.SWITCH(MID(E494,7,1),"S","Sedang","K","Kecil","B","Besar","")</f>
        <v/>
      </c>
    </row>
    <row r="495" spans="1:7" x14ac:dyDescent="0.3">
      <c r="A495" s="1" t="s">
        <v>494</v>
      </c>
      <c r="B495" s="1" t="s">
        <v>790</v>
      </c>
      <c r="C495" s="2">
        <v>10.36</v>
      </c>
      <c r="D495" s="1" t="s">
        <v>738</v>
      </c>
      <c r="E495" s="1" t="s">
        <v>711</v>
      </c>
      <c r="F495" t="str" cm="1">
        <f t="array" ref="F495">_xlfn.SWITCH(MID(E495,6,1),"S","Sucker","C","Crown","N","Nursery","")</f>
        <v>Crown</v>
      </c>
      <c r="G495" t="str" cm="1">
        <f t="array" ref="G495">_xlfn.SWITCH(MID(E495,7,1),"S","Sedang","K","Kecil","B","Besar","")</f>
        <v>Kecil</v>
      </c>
    </row>
    <row r="496" spans="1:7" x14ac:dyDescent="0.3">
      <c r="A496" s="1" t="s">
        <v>495</v>
      </c>
      <c r="B496" s="1" t="s">
        <v>790</v>
      </c>
      <c r="C496" s="2">
        <v>6.48</v>
      </c>
      <c r="D496" s="1" t="s">
        <v>753</v>
      </c>
      <c r="E496" s="1" t="s">
        <v>710</v>
      </c>
      <c r="F496" t="str" cm="1">
        <f t="array" ref="F496">_xlfn.SWITCH(MID(E496,6,1),"S","Sucker","C","Crown","N","Nursery","")</f>
        <v/>
      </c>
      <c r="G496" t="str" cm="1">
        <f t="array" ref="G496">_xlfn.SWITCH(MID(E496,7,1),"S","Sedang","K","Kecil","B","Besar","")</f>
        <v/>
      </c>
    </row>
    <row r="497" spans="1:7" x14ac:dyDescent="0.3">
      <c r="A497" s="1" t="s">
        <v>496</v>
      </c>
      <c r="B497" s="1" t="s">
        <v>790</v>
      </c>
      <c r="C497" s="2">
        <v>10.8</v>
      </c>
      <c r="D497" s="1" t="s">
        <v>729</v>
      </c>
      <c r="E497" s="1" t="s">
        <v>710</v>
      </c>
      <c r="F497" t="str" cm="1">
        <f t="array" ref="F497">_xlfn.SWITCH(MID(E497,6,1),"S","Sucker","C","Crown","N","Nursery","")</f>
        <v/>
      </c>
      <c r="G497" t="str" cm="1">
        <f t="array" ref="G497">_xlfn.SWITCH(MID(E497,7,1),"S","Sedang","K","Kecil","B","Besar","")</f>
        <v/>
      </c>
    </row>
    <row r="498" spans="1:7" x14ac:dyDescent="0.3">
      <c r="A498" s="1" t="s">
        <v>497</v>
      </c>
      <c r="B498" s="1" t="s">
        <v>790</v>
      </c>
      <c r="C498" s="2">
        <v>10.48</v>
      </c>
      <c r="D498" s="1" t="s">
        <v>713</v>
      </c>
      <c r="E498" s="1" t="s">
        <v>710</v>
      </c>
      <c r="F498" t="str" cm="1">
        <f t="array" ref="F498">_xlfn.SWITCH(MID(E498,6,1),"S","Sucker","C","Crown","N","Nursery","")</f>
        <v/>
      </c>
      <c r="G498" t="str" cm="1">
        <f t="array" ref="G498">_xlfn.SWITCH(MID(E498,7,1),"S","Sedang","K","Kecil","B","Besar","")</f>
        <v/>
      </c>
    </row>
    <row r="499" spans="1:7" x14ac:dyDescent="0.3">
      <c r="A499" s="1" t="s">
        <v>498</v>
      </c>
      <c r="B499" s="1" t="s">
        <v>790</v>
      </c>
      <c r="C499" s="2">
        <v>6.68</v>
      </c>
      <c r="D499" s="1" t="s">
        <v>756</v>
      </c>
      <c r="E499" s="1" t="s">
        <v>711</v>
      </c>
      <c r="F499" t="str" cm="1">
        <f t="array" ref="F499">_xlfn.SWITCH(MID(E499,6,1),"S","Sucker","C","Crown","N","Nursery","")</f>
        <v>Crown</v>
      </c>
      <c r="G499" t="str" cm="1">
        <f t="array" ref="G499">_xlfn.SWITCH(MID(E499,7,1),"S","Sedang","K","Kecil","B","Besar","")</f>
        <v>Kecil</v>
      </c>
    </row>
    <row r="500" spans="1:7" x14ac:dyDescent="0.3">
      <c r="A500" s="1" t="s">
        <v>499</v>
      </c>
      <c r="B500" s="1" t="s">
        <v>790</v>
      </c>
      <c r="C500" s="2">
        <v>7.07</v>
      </c>
      <c r="D500" s="1" t="s">
        <v>733</v>
      </c>
      <c r="E500" s="1" t="s">
        <v>710</v>
      </c>
      <c r="F500" t="str" cm="1">
        <f t="array" ref="F500">_xlfn.SWITCH(MID(E500,6,1),"S","Sucker","C","Crown","N","Nursery","")</f>
        <v/>
      </c>
      <c r="G500" t="str" cm="1">
        <f t="array" ref="G500">_xlfn.SWITCH(MID(E500,7,1),"S","Sedang","K","Kecil","B","Besar","")</f>
        <v/>
      </c>
    </row>
    <row r="501" spans="1:7" x14ac:dyDescent="0.3">
      <c r="A501" s="1" t="s">
        <v>500</v>
      </c>
      <c r="B501" s="1" t="s">
        <v>790</v>
      </c>
      <c r="C501" s="2">
        <v>9.14</v>
      </c>
      <c r="D501" s="1" t="s">
        <v>791</v>
      </c>
      <c r="E501" s="1" t="s">
        <v>710</v>
      </c>
      <c r="F501" t="str" cm="1">
        <f t="array" ref="F501">_xlfn.SWITCH(MID(E501,6,1),"S","Sucker","C","Crown","N","Nursery","")</f>
        <v/>
      </c>
      <c r="G501" t="str" cm="1">
        <f t="array" ref="G501">_xlfn.SWITCH(MID(E501,7,1),"S","Sedang","K","Kecil","B","Besar","")</f>
        <v/>
      </c>
    </row>
    <row r="502" spans="1:7" x14ac:dyDescent="0.3">
      <c r="A502" s="1" t="s">
        <v>501</v>
      </c>
      <c r="B502" s="1" t="s">
        <v>790</v>
      </c>
      <c r="C502" s="2">
        <v>6.72</v>
      </c>
      <c r="D502" s="1" t="s">
        <v>729</v>
      </c>
      <c r="E502" s="1" t="s">
        <v>710</v>
      </c>
      <c r="F502" t="str" cm="1">
        <f t="array" ref="F502">_xlfn.SWITCH(MID(E502,6,1),"S","Sucker","C","Crown","N","Nursery","")</f>
        <v/>
      </c>
      <c r="G502" t="str" cm="1">
        <f t="array" ref="G502">_xlfn.SWITCH(MID(E502,7,1),"S","Sedang","K","Kecil","B","Besar","")</f>
        <v/>
      </c>
    </row>
    <row r="503" spans="1:7" x14ac:dyDescent="0.3">
      <c r="A503" s="1" t="s">
        <v>502</v>
      </c>
      <c r="B503" s="1" t="s">
        <v>790</v>
      </c>
      <c r="C503" s="2">
        <v>13.46</v>
      </c>
      <c r="D503" s="1" t="s">
        <v>728</v>
      </c>
      <c r="E503" s="1" t="s">
        <v>710</v>
      </c>
      <c r="F503" t="str" cm="1">
        <f t="array" ref="F503">_xlfn.SWITCH(MID(E503,6,1),"S","Sucker","C","Crown","N","Nursery","")</f>
        <v/>
      </c>
      <c r="G503" t="str" cm="1">
        <f t="array" ref="G503">_xlfn.SWITCH(MID(E503,7,1),"S","Sedang","K","Kecil","B","Besar","")</f>
        <v/>
      </c>
    </row>
    <row r="504" spans="1:7" x14ac:dyDescent="0.3">
      <c r="A504" s="1" t="s">
        <v>503</v>
      </c>
      <c r="B504" s="1" t="s">
        <v>790</v>
      </c>
      <c r="C504" s="2">
        <v>8.51</v>
      </c>
      <c r="D504" s="1" t="s">
        <v>758</v>
      </c>
      <c r="E504" s="1" t="s">
        <v>710</v>
      </c>
      <c r="F504" t="str" cm="1">
        <f t="array" ref="F504">_xlfn.SWITCH(MID(E504,6,1),"S","Sucker","C","Crown","N","Nursery","")</f>
        <v/>
      </c>
      <c r="G504" t="str" cm="1">
        <f t="array" ref="G504">_xlfn.SWITCH(MID(E504,7,1),"S","Sedang","K","Kecil","B","Besar","")</f>
        <v/>
      </c>
    </row>
    <row r="505" spans="1:7" x14ac:dyDescent="0.3">
      <c r="A505" s="1" t="s">
        <v>504</v>
      </c>
      <c r="B505" s="1" t="s">
        <v>790</v>
      </c>
      <c r="C505" s="2">
        <v>6.17</v>
      </c>
      <c r="D505" s="1" t="s">
        <v>730</v>
      </c>
      <c r="E505" s="1" t="s">
        <v>710</v>
      </c>
      <c r="F505" t="str" cm="1">
        <f t="array" ref="F505">_xlfn.SWITCH(MID(E505,6,1),"S","Sucker","C","Crown","N","Nursery","")</f>
        <v/>
      </c>
      <c r="G505" t="str" cm="1">
        <f t="array" ref="G505">_xlfn.SWITCH(MID(E505,7,1),"S","Sedang","K","Kecil","B","Besar","")</f>
        <v/>
      </c>
    </row>
    <row r="506" spans="1:7" x14ac:dyDescent="0.3">
      <c r="A506" s="1" t="s">
        <v>505</v>
      </c>
      <c r="B506" s="1" t="s">
        <v>790</v>
      </c>
      <c r="C506" s="2">
        <v>12.41</v>
      </c>
      <c r="D506" s="1" t="s">
        <v>729</v>
      </c>
      <c r="E506" s="1" t="s">
        <v>710</v>
      </c>
      <c r="F506" t="str" cm="1">
        <f t="array" ref="F506">_xlfn.SWITCH(MID(E506,6,1),"S","Sucker","C","Crown","N","Nursery","")</f>
        <v/>
      </c>
      <c r="G506" t="str" cm="1">
        <f t="array" ref="G506">_xlfn.SWITCH(MID(E506,7,1),"S","Sedang","K","Kecil","B","Besar","")</f>
        <v/>
      </c>
    </row>
    <row r="507" spans="1:7" x14ac:dyDescent="0.3">
      <c r="A507" s="1" t="s">
        <v>506</v>
      </c>
      <c r="B507" s="1" t="s">
        <v>790</v>
      </c>
      <c r="C507" s="2">
        <v>7.68</v>
      </c>
      <c r="D507" s="1" t="s">
        <v>758</v>
      </c>
      <c r="E507" s="1" t="s">
        <v>710</v>
      </c>
      <c r="F507" t="str" cm="1">
        <f t="array" ref="F507">_xlfn.SWITCH(MID(E507,6,1),"S","Sucker","C","Crown","N","Nursery","")</f>
        <v/>
      </c>
      <c r="G507" t="str" cm="1">
        <f t="array" ref="G507">_xlfn.SWITCH(MID(E507,7,1),"S","Sedang","K","Kecil","B","Besar","")</f>
        <v/>
      </c>
    </row>
    <row r="508" spans="1:7" x14ac:dyDescent="0.3">
      <c r="A508" s="1" t="s">
        <v>507</v>
      </c>
      <c r="B508" s="1" t="s">
        <v>790</v>
      </c>
      <c r="C508" s="2">
        <v>4.25</v>
      </c>
      <c r="D508" s="1" t="s">
        <v>713</v>
      </c>
      <c r="E508" s="1" t="s">
        <v>710</v>
      </c>
      <c r="F508" t="str" cm="1">
        <f t="array" ref="F508">_xlfn.SWITCH(MID(E508,6,1),"S","Sucker","C","Crown","N","Nursery","")</f>
        <v/>
      </c>
      <c r="G508" t="str" cm="1">
        <f t="array" ref="G508">_xlfn.SWITCH(MID(E508,7,1),"S","Sedang","K","Kecil","B","Besar","")</f>
        <v/>
      </c>
    </row>
    <row r="509" spans="1:7" x14ac:dyDescent="0.3">
      <c r="A509" s="1" t="s">
        <v>508</v>
      </c>
      <c r="B509" s="1" t="s">
        <v>790</v>
      </c>
      <c r="C509" s="2">
        <v>9.0299999999999994</v>
      </c>
      <c r="D509" s="1" t="s">
        <v>764</v>
      </c>
      <c r="E509" s="1" t="s">
        <v>710</v>
      </c>
      <c r="F509" t="str" cm="1">
        <f t="array" ref="F509">_xlfn.SWITCH(MID(E509,6,1),"S","Sucker","C","Crown","N","Nursery","")</f>
        <v/>
      </c>
      <c r="G509" t="str" cm="1">
        <f t="array" ref="G509">_xlfn.SWITCH(MID(E509,7,1),"S","Sedang","K","Kecil","B","Besar","")</f>
        <v/>
      </c>
    </row>
    <row r="510" spans="1:7" x14ac:dyDescent="0.3">
      <c r="A510" s="1" t="s">
        <v>509</v>
      </c>
      <c r="B510" s="1" t="s">
        <v>790</v>
      </c>
      <c r="C510" s="2">
        <v>6.39</v>
      </c>
      <c r="D510" s="1" t="s">
        <v>728</v>
      </c>
      <c r="E510" s="1" t="s">
        <v>710</v>
      </c>
      <c r="F510" t="str" cm="1">
        <f t="array" ref="F510">_xlfn.SWITCH(MID(E510,6,1),"S","Sucker","C","Crown","N","Nursery","")</f>
        <v/>
      </c>
      <c r="G510" t="str" cm="1">
        <f t="array" ref="G510">_xlfn.SWITCH(MID(E510,7,1),"S","Sedang","K","Kecil","B","Besar","")</f>
        <v/>
      </c>
    </row>
    <row r="511" spans="1:7" x14ac:dyDescent="0.3">
      <c r="A511" s="1" t="s">
        <v>510</v>
      </c>
      <c r="B511" s="1" t="s">
        <v>790</v>
      </c>
      <c r="C511" s="2">
        <v>7.41</v>
      </c>
      <c r="D511" s="1" t="s">
        <v>730</v>
      </c>
      <c r="E511" s="1" t="s">
        <v>710</v>
      </c>
      <c r="F511" t="str" cm="1">
        <f t="array" ref="F511">_xlfn.SWITCH(MID(E511,6,1),"S","Sucker","C","Crown","N","Nursery","")</f>
        <v/>
      </c>
      <c r="G511" t="str" cm="1">
        <f t="array" ref="G511">_xlfn.SWITCH(MID(E511,7,1),"S","Sedang","K","Kecil","B","Besar","")</f>
        <v/>
      </c>
    </row>
    <row r="512" spans="1:7" x14ac:dyDescent="0.3">
      <c r="A512" s="1" t="s">
        <v>511</v>
      </c>
      <c r="B512" s="1" t="s">
        <v>790</v>
      </c>
      <c r="C512" s="2">
        <v>7.21</v>
      </c>
      <c r="D512" s="1" t="s">
        <v>728</v>
      </c>
      <c r="E512" s="1" t="s">
        <v>710</v>
      </c>
      <c r="F512" t="str" cm="1">
        <f t="array" ref="F512">_xlfn.SWITCH(MID(E512,6,1),"S","Sucker","C","Crown","N","Nursery","")</f>
        <v/>
      </c>
      <c r="G512" t="str" cm="1">
        <f t="array" ref="G512">_xlfn.SWITCH(MID(E512,7,1),"S","Sedang","K","Kecil","B","Besar","")</f>
        <v/>
      </c>
    </row>
    <row r="513" spans="1:7" x14ac:dyDescent="0.3">
      <c r="A513" s="1" t="s">
        <v>512</v>
      </c>
      <c r="B513" s="1" t="s">
        <v>790</v>
      </c>
      <c r="C513" s="2">
        <v>6.74</v>
      </c>
      <c r="D513" s="1" t="s">
        <v>732</v>
      </c>
      <c r="E513" s="1" t="s">
        <v>710</v>
      </c>
      <c r="F513" t="str" cm="1">
        <f t="array" ref="F513">_xlfn.SWITCH(MID(E513,6,1),"S","Sucker","C","Crown","N","Nursery","")</f>
        <v/>
      </c>
      <c r="G513" t="str" cm="1">
        <f t="array" ref="G513">_xlfn.SWITCH(MID(E513,7,1),"S","Sedang","K","Kecil","B","Besar","")</f>
        <v/>
      </c>
    </row>
    <row r="514" spans="1:7" x14ac:dyDescent="0.3">
      <c r="A514" s="1" t="s">
        <v>513</v>
      </c>
      <c r="B514" s="1" t="s">
        <v>790</v>
      </c>
      <c r="C514" s="2">
        <v>6.82</v>
      </c>
      <c r="D514" s="1" t="s">
        <v>732</v>
      </c>
      <c r="E514" s="1" t="s">
        <v>710</v>
      </c>
      <c r="F514" t="str" cm="1">
        <f t="array" ref="F514">_xlfn.SWITCH(MID(E514,6,1),"S","Sucker","C","Crown","N","Nursery","")</f>
        <v/>
      </c>
      <c r="G514" t="str" cm="1">
        <f t="array" ref="G514">_xlfn.SWITCH(MID(E514,7,1),"S","Sedang","K","Kecil","B","Besar","")</f>
        <v/>
      </c>
    </row>
    <row r="515" spans="1:7" x14ac:dyDescent="0.3">
      <c r="A515" s="1" t="s">
        <v>514</v>
      </c>
      <c r="B515" s="1" t="s">
        <v>790</v>
      </c>
      <c r="C515" s="2">
        <v>6.53</v>
      </c>
      <c r="D515" s="1" t="s">
        <v>737</v>
      </c>
      <c r="E515" s="1" t="s">
        <v>711</v>
      </c>
      <c r="F515" t="str" cm="1">
        <f t="array" ref="F515">_xlfn.SWITCH(MID(E515,6,1),"S","Sucker","C","Crown","N","Nursery","")</f>
        <v>Crown</v>
      </c>
      <c r="G515" t="str" cm="1">
        <f t="array" ref="G515">_xlfn.SWITCH(MID(E515,7,1),"S","Sedang","K","Kecil","B","Besar","")</f>
        <v>Kecil</v>
      </c>
    </row>
    <row r="516" spans="1:7" x14ac:dyDescent="0.3">
      <c r="A516" s="1" t="s">
        <v>515</v>
      </c>
      <c r="B516" s="1" t="s">
        <v>790</v>
      </c>
      <c r="C516" s="3">
        <v>11</v>
      </c>
      <c r="D516" s="1" t="s">
        <v>733</v>
      </c>
      <c r="E516" s="1" t="s">
        <v>710</v>
      </c>
      <c r="F516" t="str" cm="1">
        <f t="array" ref="F516">_xlfn.SWITCH(MID(E516,6,1),"S","Sucker","C","Crown","N","Nursery","")</f>
        <v/>
      </c>
      <c r="G516" t="str" cm="1">
        <f t="array" ref="G516">_xlfn.SWITCH(MID(E516,7,1),"S","Sedang","K","Kecil","B","Besar","")</f>
        <v/>
      </c>
    </row>
    <row r="517" spans="1:7" x14ac:dyDescent="0.3">
      <c r="A517" s="1" t="s">
        <v>516</v>
      </c>
      <c r="B517" s="1" t="s">
        <v>790</v>
      </c>
      <c r="C517" s="3">
        <v>10</v>
      </c>
      <c r="D517" s="1" t="s">
        <v>764</v>
      </c>
      <c r="E517" s="1" t="s">
        <v>710</v>
      </c>
      <c r="F517" t="str" cm="1">
        <f t="array" ref="F517">_xlfn.SWITCH(MID(E517,6,1),"S","Sucker","C","Crown","N","Nursery","")</f>
        <v/>
      </c>
      <c r="G517" t="str" cm="1">
        <f t="array" ref="G517">_xlfn.SWITCH(MID(E517,7,1),"S","Sedang","K","Kecil","B","Besar","")</f>
        <v/>
      </c>
    </row>
    <row r="518" spans="1:7" x14ac:dyDescent="0.3">
      <c r="A518" s="1" t="s">
        <v>517</v>
      </c>
      <c r="B518" s="1" t="s">
        <v>792</v>
      </c>
      <c r="C518" s="2">
        <v>7.08</v>
      </c>
      <c r="D518" s="1" t="s">
        <v>750</v>
      </c>
      <c r="E518" s="1" t="s">
        <v>710</v>
      </c>
      <c r="F518" t="str" cm="1">
        <f t="array" ref="F518">_xlfn.SWITCH(MID(E518,6,1),"S","Sucker","C","Crown","N","Nursery","")</f>
        <v/>
      </c>
      <c r="G518" t="str" cm="1">
        <f t="array" ref="G518">_xlfn.SWITCH(MID(E518,7,1),"S","Sedang","K","Kecil","B","Besar","")</f>
        <v/>
      </c>
    </row>
    <row r="519" spans="1:7" x14ac:dyDescent="0.3">
      <c r="A519" s="1" t="s">
        <v>518</v>
      </c>
      <c r="B519" s="1" t="s">
        <v>792</v>
      </c>
      <c r="C519" s="2">
        <v>9.89</v>
      </c>
      <c r="D519" s="1" t="s">
        <v>735</v>
      </c>
      <c r="E519" s="1" t="s">
        <v>711</v>
      </c>
      <c r="F519" t="str" cm="1">
        <f t="array" ref="F519">_xlfn.SWITCH(MID(E519,6,1),"S","Sucker","C","Crown","N","Nursery","")</f>
        <v>Crown</v>
      </c>
      <c r="G519" t="str" cm="1">
        <f t="array" ref="G519">_xlfn.SWITCH(MID(E519,7,1),"S","Sedang","K","Kecil","B","Besar","")</f>
        <v>Kecil</v>
      </c>
    </row>
    <row r="520" spans="1:7" x14ac:dyDescent="0.3">
      <c r="A520" s="1" t="s">
        <v>519</v>
      </c>
      <c r="B520" s="1" t="s">
        <v>792</v>
      </c>
      <c r="C520" s="2">
        <v>6.15</v>
      </c>
      <c r="D520" s="1" t="s">
        <v>764</v>
      </c>
      <c r="E520" s="1" t="s">
        <v>710</v>
      </c>
      <c r="F520" t="str" cm="1">
        <f t="array" ref="F520">_xlfn.SWITCH(MID(E520,6,1),"S","Sucker","C","Crown","N","Nursery","")</f>
        <v/>
      </c>
      <c r="G520" t="str" cm="1">
        <f t="array" ref="G520">_xlfn.SWITCH(MID(E520,7,1),"S","Sedang","K","Kecil","B","Besar","")</f>
        <v/>
      </c>
    </row>
    <row r="521" spans="1:7" x14ac:dyDescent="0.3">
      <c r="A521" s="1" t="s">
        <v>520</v>
      </c>
      <c r="B521" s="1" t="s">
        <v>790</v>
      </c>
      <c r="C521" s="2">
        <v>7.92</v>
      </c>
      <c r="D521" s="1" t="s">
        <v>793</v>
      </c>
      <c r="E521" s="1" t="s">
        <v>710</v>
      </c>
      <c r="F521" t="str" cm="1">
        <f t="array" ref="F521">_xlfn.SWITCH(MID(E521,6,1),"S","Sucker","C","Crown","N","Nursery","")</f>
        <v/>
      </c>
      <c r="G521" t="str" cm="1">
        <f t="array" ref="G521">_xlfn.SWITCH(MID(E521,7,1),"S","Sedang","K","Kecil","B","Besar","")</f>
        <v/>
      </c>
    </row>
    <row r="522" spans="1:7" x14ac:dyDescent="0.3">
      <c r="A522" s="1" t="s">
        <v>521</v>
      </c>
      <c r="B522" s="1" t="s">
        <v>792</v>
      </c>
      <c r="C522" s="2">
        <v>9.1300000000000008</v>
      </c>
      <c r="D522" s="1" t="s">
        <v>742</v>
      </c>
      <c r="E522" s="1" t="s">
        <v>710</v>
      </c>
      <c r="F522" t="str" cm="1">
        <f t="array" ref="F522">_xlfn.SWITCH(MID(E522,6,1),"S","Sucker","C","Crown","N","Nursery","")</f>
        <v/>
      </c>
      <c r="G522" t="str" cm="1">
        <f t="array" ref="G522">_xlfn.SWITCH(MID(E522,7,1),"S","Sedang","K","Kecil","B","Besar","")</f>
        <v/>
      </c>
    </row>
    <row r="523" spans="1:7" x14ac:dyDescent="0.3">
      <c r="A523" s="1" t="s">
        <v>522</v>
      </c>
      <c r="B523" s="1" t="s">
        <v>792</v>
      </c>
      <c r="C523" s="2">
        <v>5.27</v>
      </c>
      <c r="D523" s="1" t="s">
        <v>760</v>
      </c>
      <c r="E523" s="1" t="s">
        <v>710</v>
      </c>
      <c r="F523" t="str" cm="1">
        <f t="array" ref="F523">_xlfn.SWITCH(MID(E523,6,1),"S","Sucker","C","Crown","N","Nursery","")</f>
        <v/>
      </c>
      <c r="G523" t="str" cm="1">
        <f t="array" ref="G523">_xlfn.SWITCH(MID(E523,7,1),"S","Sedang","K","Kecil","B","Besar","")</f>
        <v/>
      </c>
    </row>
    <row r="524" spans="1:7" x14ac:dyDescent="0.3">
      <c r="A524" s="1" t="s">
        <v>523</v>
      </c>
      <c r="B524" s="1" t="s">
        <v>792</v>
      </c>
      <c r="C524" s="2">
        <v>8.2100000000000009</v>
      </c>
      <c r="D524" s="1" t="s">
        <v>763</v>
      </c>
      <c r="E524" s="1" t="s">
        <v>710</v>
      </c>
      <c r="F524" t="str" cm="1">
        <f t="array" ref="F524">_xlfn.SWITCH(MID(E524,6,1),"S","Sucker","C","Crown","N","Nursery","")</f>
        <v/>
      </c>
      <c r="G524" t="str" cm="1">
        <f t="array" ref="G524">_xlfn.SWITCH(MID(E524,7,1),"S","Sedang","K","Kecil","B","Besar","")</f>
        <v/>
      </c>
    </row>
    <row r="525" spans="1:7" x14ac:dyDescent="0.3">
      <c r="A525" s="1" t="s">
        <v>524</v>
      </c>
      <c r="B525" s="1" t="s">
        <v>792</v>
      </c>
      <c r="C525" s="2">
        <v>10.69</v>
      </c>
      <c r="D525" s="1" t="s">
        <v>738</v>
      </c>
      <c r="E525" s="1" t="s">
        <v>727</v>
      </c>
      <c r="F525" t="str" cm="1">
        <f t="array" ref="F525">_xlfn.SWITCH(MID(E525,6,1),"S","Sucker","C","Crown","N","Nursery","")</f>
        <v>Sucker</v>
      </c>
      <c r="G525" t="str" cm="1">
        <f t="array" ref="G525">_xlfn.SWITCH(MID(E525,7,1),"S","Sedang","K","Kecil","B","Besar","")</f>
        <v>Besar</v>
      </c>
    </row>
    <row r="526" spans="1:7" x14ac:dyDescent="0.3">
      <c r="A526" s="1" t="s">
        <v>525</v>
      </c>
      <c r="B526" s="1" t="s">
        <v>792</v>
      </c>
      <c r="C526" s="2">
        <v>5.97</v>
      </c>
      <c r="D526" s="1" t="s">
        <v>740</v>
      </c>
      <c r="E526" s="1" t="s">
        <v>710</v>
      </c>
      <c r="F526" t="str" cm="1">
        <f t="array" ref="F526">_xlfn.SWITCH(MID(E526,6,1),"S","Sucker","C","Crown","N","Nursery","")</f>
        <v/>
      </c>
      <c r="G526" t="str" cm="1">
        <f t="array" ref="G526">_xlfn.SWITCH(MID(E526,7,1),"S","Sedang","K","Kecil","B","Besar","")</f>
        <v/>
      </c>
    </row>
    <row r="527" spans="1:7" x14ac:dyDescent="0.3">
      <c r="A527" s="1" t="s">
        <v>526</v>
      </c>
      <c r="B527" s="1" t="s">
        <v>792</v>
      </c>
      <c r="C527" s="2">
        <v>12.32</v>
      </c>
      <c r="D527" s="1" t="s">
        <v>733</v>
      </c>
      <c r="E527" s="1" t="s">
        <v>710</v>
      </c>
      <c r="F527" t="str" cm="1">
        <f t="array" ref="F527">_xlfn.SWITCH(MID(E527,6,1),"S","Sucker","C","Crown","N","Nursery","")</f>
        <v/>
      </c>
      <c r="G527" t="str" cm="1">
        <f t="array" ref="G527">_xlfn.SWITCH(MID(E527,7,1),"S","Sedang","K","Kecil","B","Besar","")</f>
        <v/>
      </c>
    </row>
    <row r="528" spans="1:7" x14ac:dyDescent="0.3">
      <c r="A528" s="1" t="s">
        <v>527</v>
      </c>
      <c r="B528" s="1" t="s">
        <v>792</v>
      </c>
      <c r="C528" s="2">
        <v>7.3</v>
      </c>
      <c r="D528" s="1" t="s">
        <v>760</v>
      </c>
      <c r="E528" s="1" t="s">
        <v>710</v>
      </c>
      <c r="F528" t="str" cm="1">
        <f t="array" ref="F528">_xlfn.SWITCH(MID(E528,6,1),"S","Sucker","C","Crown","N","Nursery","")</f>
        <v/>
      </c>
      <c r="G528" t="str" cm="1">
        <f t="array" ref="G528">_xlfn.SWITCH(MID(E528,7,1),"S","Sedang","K","Kecil","B","Besar","")</f>
        <v/>
      </c>
    </row>
    <row r="529" spans="1:7" x14ac:dyDescent="0.3">
      <c r="A529" s="1" t="s">
        <v>528</v>
      </c>
      <c r="B529" s="1" t="s">
        <v>792</v>
      </c>
      <c r="C529" s="2">
        <v>7.64</v>
      </c>
      <c r="D529" s="1" t="s">
        <v>760</v>
      </c>
      <c r="E529" s="1" t="s">
        <v>710</v>
      </c>
      <c r="F529" t="str" cm="1">
        <f t="array" ref="F529">_xlfn.SWITCH(MID(E529,6,1),"S","Sucker","C","Crown","N","Nursery","")</f>
        <v/>
      </c>
      <c r="G529" t="str" cm="1">
        <f t="array" ref="G529">_xlfn.SWITCH(MID(E529,7,1),"S","Sedang","K","Kecil","B","Besar","")</f>
        <v/>
      </c>
    </row>
    <row r="530" spans="1:7" x14ac:dyDescent="0.3">
      <c r="A530" s="1" t="s">
        <v>529</v>
      </c>
      <c r="B530" s="1" t="s">
        <v>792</v>
      </c>
      <c r="C530" s="2">
        <v>6.6</v>
      </c>
      <c r="D530" s="1" t="s">
        <v>719</v>
      </c>
      <c r="E530" s="1" t="s">
        <v>711</v>
      </c>
      <c r="F530" t="str" cm="1">
        <f t="array" ref="F530">_xlfn.SWITCH(MID(E530,6,1),"S","Sucker","C","Crown","N","Nursery","")</f>
        <v>Crown</v>
      </c>
      <c r="G530" t="str" cm="1">
        <f t="array" ref="G530">_xlfn.SWITCH(MID(E530,7,1),"S","Sedang","K","Kecil","B","Besar","")</f>
        <v>Kecil</v>
      </c>
    </row>
    <row r="531" spans="1:7" x14ac:dyDescent="0.3">
      <c r="A531" s="1" t="s">
        <v>530</v>
      </c>
      <c r="B531" s="1" t="s">
        <v>792</v>
      </c>
      <c r="C531" s="2">
        <v>5.71</v>
      </c>
      <c r="D531" s="1" t="s">
        <v>756</v>
      </c>
      <c r="E531" s="1" t="s">
        <v>711</v>
      </c>
      <c r="F531" t="str" cm="1">
        <f t="array" ref="F531">_xlfn.SWITCH(MID(E531,6,1),"S","Sucker","C","Crown","N","Nursery","")</f>
        <v>Crown</v>
      </c>
      <c r="G531" t="str" cm="1">
        <f t="array" ref="G531">_xlfn.SWITCH(MID(E531,7,1),"S","Sedang","K","Kecil","B","Besar","")</f>
        <v>Kecil</v>
      </c>
    </row>
    <row r="532" spans="1:7" x14ac:dyDescent="0.3">
      <c r="A532" s="1" t="s">
        <v>531</v>
      </c>
      <c r="B532" s="1" t="s">
        <v>792</v>
      </c>
      <c r="C532" s="2">
        <v>8.33</v>
      </c>
      <c r="D532" s="1" t="s">
        <v>708</v>
      </c>
      <c r="E532" s="1" t="s">
        <v>711</v>
      </c>
      <c r="F532" t="str" cm="1">
        <f t="array" ref="F532">_xlfn.SWITCH(MID(E532,6,1),"S","Sucker","C","Crown","N","Nursery","")</f>
        <v>Crown</v>
      </c>
      <c r="G532" t="str" cm="1">
        <f t="array" ref="G532">_xlfn.SWITCH(MID(E532,7,1),"S","Sedang","K","Kecil","B","Besar","")</f>
        <v>Kecil</v>
      </c>
    </row>
    <row r="533" spans="1:7" x14ac:dyDescent="0.3">
      <c r="A533" s="1" t="s">
        <v>532</v>
      </c>
      <c r="B533" s="1" t="s">
        <v>792</v>
      </c>
      <c r="C533" s="2">
        <v>8.5399999999999991</v>
      </c>
      <c r="D533" s="1" t="s">
        <v>748</v>
      </c>
      <c r="E533" s="1" t="s">
        <v>710</v>
      </c>
      <c r="F533" t="str" cm="1">
        <f t="array" ref="F533">_xlfn.SWITCH(MID(E533,6,1),"S","Sucker","C","Crown","N","Nursery","")</f>
        <v/>
      </c>
      <c r="G533" t="str" cm="1">
        <f t="array" ref="G533">_xlfn.SWITCH(MID(E533,7,1),"S","Sedang","K","Kecil","B","Besar","")</f>
        <v/>
      </c>
    </row>
    <row r="534" spans="1:7" x14ac:dyDescent="0.3">
      <c r="A534" s="1" t="s">
        <v>533</v>
      </c>
      <c r="B534" s="1" t="s">
        <v>792</v>
      </c>
      <c r="C534" s="2">
        <v>9.27</v>
      </c>
      <c r="D534" s="1" t="s">
        <v>725</v>
      </c>
      <c r="E534" s="1" t="s">
        <v>710</v>
      </c>
      <c r="F534" t="str" cm="1">
        <f t="array" ref="F534">_xlfn.SWITCH(MID(E534,6,1),"S","Sucker","C","Crown","N","Nursery","")</f>
        <v/>
      </c>
      <c r="G534" t="str" cm="1">
        <f t="array" ref="G534">_xlfn.SWITCH(MID(E534,7,1),"S","Sedang","K","Kecil","B","Besar","")</f>
        <v/>
      </c>
    </row>
    <row r="535" spans="1:7" x14ac:dyDescent="0.3">
      <c r="A535" s="1" t="s">
        <v>534</v>
      </c>
      <c r="B535" s="1" t="s">
        <v>792</v>
      </c>
      <c r="C535" s="2">
        <v>12.09</v>
      </c>
      <c r="D535" s="1" t="s">
        <v>764</v>
      </c>
      <c r="E535" s="1" t="s">
        <v>710</v>
      </c>
      <c r="F535" t="str" cm="1">
        <f t="array" ref="F535">_xlfn.SWITCH(MID(E535,6,1),"S","Sucker","C","Crown","N","Nursery","")</f>
        <v/>
      </c>
      <c r="G535" t="str" cm="1">
        <f t="array" ref="G535">_xlfn.SWITCH(MID(E535,7,1),"S","Sedang","K","Kecil","B","Besar","")</f>
        <v/>
      </c>
    </row>
    <row r="536" spans="1:7" x14ac:dyDescent="0.3">
      <c r="A536" s="1" t="s">
        <v>535</v>
      </c>
      <c r="B536" s="1" t="s">
        <v>792</v>
      </c>
      <c r="C536" s="2">
        <v>7.53</v>
      </c>
      <c r="D536" s="1" t="s">
        <v>733</v>
      </c>
      <c r="E536" s="1" t="s">
        <v>710</v>
      </c>
      <c r="F536" t="str" cm="1">
        <f t="array" ref="F536">_xlfn.SWITCH(MID(E536,6,1),"S","Sucker","C","Crown","N","Nursery","")</f>
        <v/>
      </c>
      <c r="G536" t="str" cm="1">
        <f t="array" ref="G536">_xlfn.SWITCH(MID(E536,7,1),"S","Sedang","K","Kecil","B","Besar","")</f>
        <v/>
      </c>
    </row>
    <row r="537" spans="1:7" x14ac:dyDescent="0.3">
      <c r="A537" s="1" t="s">
        <v>536</v>
      </c>
      <c r="B537" s="1" t="s">
        <v>792</v>
      </c>
      <c r="C537" s="2">
        <v>6.87</v>
      </c>
      <c r="D537" s="1" t="s">
        <v>755</v>
      </c>
      <c r="E537" s="1" t="s">
        <v>710</v>
      </c>
      <c r="F537" t="str" cm="1">
        <f t="array" ref="F537">_xlfn.SWITCH(MID(E537,6,1),"S","Sucker","C","Crown","N","Nursery","")</f>
        <v/>
      </c>
      <c r="G537" t="str" cm="1">
        <f t="array" ref="G537">_xlfn.SWITCH(MID(E537,7,1),"S","Sedang","K","Kecil","B","Besar","")</f>
        <v/>
      </c>
    </row>
    <row r="538" spans="1:7" x14ac:dyDescent="0.3">
      <c r="A538" s="1" t="s">
        <v>537</v>
      </c>
      <c r="B538" s="1" t="s">
        <v>792</v>
      </c>
      <c r="C538" s="2">
        <v>7.42</v>
      </c>
      <c r="D538" s="1" t="s">
        <v>750</v>
      </c>
      <c r="E538" s="1" t="s">
        <v>710</v>
      </c>
      <c r="F538" t="str" cm="1">
        <f t="array" ref="F538">_xlfn.SWITCH(MID(E538,6,1),"S","Sucker","C","Crown","N","Nursery","")</f>
        <v/>
      </c>
      <c r="G538" t="str" cm="1">
        <f t="array" ref="G538">_xlfn.SWITCH(MID(E538,7,1),"S","Sedang","K","Kecil","B","Besar","")</f>
        <v/>
      </c>
    </row>
    <row r="539" spans="1:7" x14ac:dyDescent="0.3">
      <c r="A539" s="1" t="s">
        <v>538</v>
      </c>
      <c r="B539" s="1" t="s">
        <v>792</v>
      </c>
      <c r="C539" s="2">
        <v>4.8600000000000003</v>
      </c>
      <c r="D539" s="1" t="s">
        <v>722</v>
      </c>
      <c r="E539" s="1" t="s">
        <v>710</v>
      </c>
      <c r="F539" t="str" cm="1">
        <f t="array" ref="F539">_xlfn.SWITCH(MID(E539,6,1),"S","Sucker","C","Crown","N","Nursery","")</f>
        <v/>
      </c>
      <c r="G539" t="str" cm="1">
        <f t="array" ref="G539">_xlfn.SWITCH(MID(E539,7,1),"S","Sedang","K","Kecil","B","Besar","")</f>
        <v/>
      </c>
    </row>
    <row r="540" spans="1:7" x14ac:dyDescent="0.3">
      <c r="A540" s="1" t="s">
        <v>539</v>
      </c>
      <c r="B540" s="1" t="s">
        <v>792</v>
      </c>
      <c r="C540" s="2">
        <v>7.99</v>
      </c>
      <c r="D540" s="1" t="s">
        <v>748</v>
      </c>
      <c r="E540" s="1" t="s">
        <v>710</v>
      </c>
      <c r="F540" t="str" cm="1">
        <f t="array" ref="F540">_xlfn.SWITCH(MID(E540,6,1),"S","Sucker","C","Crown","N","Nursery","")</f>
        <v/>
      </c>
      <c r="G540" t="str" cm="1">
        <f t="array" ref="G540">_xlfn.SWITCH(MID(E540,7,1),"S","Sedang","K","Kecil","B","Besar","")</f>
        <v/>
      </c>
    </row>
    <row r="541" spans="1:7" x14ac:dyDescent="0.3">
      <c r="A541" s="1" t="s">
        <v>540</v>
      </c>
      <c r="B541" s="1" t="s">
        <v>792</v>
      </c>
      <c r="C541" s="2">
        <v>4.12</v>
      </c>
      <c r="D541" s="1" t="s">
        <v>713</v>
      </c>
      <c r="E541" s="1" t="s">
        <v>710</v>
      </c>
      <c r="F541" t="str" cm="1">
        <f t="array" ref="F541">_xlfn.SWITCH(MID(E541,6,1),"S","Sucker","C","Crown","N","Nursery","")</f>
        <v/>
      </c>
      <c r="G541" t="str" cm="1">
        <f t="array" ref="G541">_xlfn.SWITCH(MID(E541,7,1),"S","Sedang","K","Kecil","B","Besar","")</f>
        <v/>
      </c>
    </row>
    <row r="542" spans="1:7" x14ac:dyDescent="0.3">
      <c r="A542" s="1" t="s">
        <v>541</v>
      </c>
      <c r="B542" s="1" t="s">
        <v>792</v>
      </c>
      <c r="C542" s="2">
        <v>6.23</v>
      </c>
      <c r="D542" s="1" t="s">
        <v>755</v>
      </c>
      <c r="E542" s="1" t="s">
        <v>710</v>
      </c>
      <c r="F542" t="str" cm="1">
        <f t="array" ref="F542">_xlfn.SWITCH(MID(E542,6,1),"S","Sucker","C","Crown","N","Nursery","")</f>
        <v/>
      </c>
      <c r="G542" t="str" cm="1">
        <f t="array" ref="G542">_xlfn.SWITCH(MID(E542,7,1),"S","Sedang","K","Kecil","B","Besar","")</f>
        <v/>
      </c>
    </row>
    <row r="543" spans="1:7" x14ac:dyDescent="0.3">
      <c r="A543" s="1" t="s">
        <v>542</v>
      </c>
      <c r="B543" s="1" t="s">
        <v>792</v>
      </c>
      <c r="C543" s="2">
        <v>11.7</v>
      </c>
      <c r="D543" s="1" t="s">
        <v>722</v>
      </c>
      <c r="E543" s="1" t="s">
        <v>710</v>
      </c>
      <c r="F543" t="str" cm="1">
        <f t="array" ref="F543">_xlfn.SWITCH(MID(E543,6,1),"S","Sucker","C","Crown","N","Nursery","")</f>
        <v/>
      </c>
      <c r="G543" t="str" cm="1">
        <f t="array" ref="G543">_xlfn.SWITCH(MID(E543,7,1),"S","Sedang","K","Kecil","B","Besar","")</f>
        <v/>
      </c>
    </row>
    <row r="544" spans="1:7" x14ac:dyDescent="0.3">
      <c r="A544" s="1" t="s">
        <v>543</v>
      </c>
      <c r="B544" s="1" t="s">
        <v>792</v>
      </c>
      <c r="C544" s="2">
        <v>9.73</v>
      </c>
      <c r="D544" s="1" t="s">
        <v>730</v>
      </c>
      <c r="E544" s="1" t="s">
        <v>710</v>
      </c>
      <c r="F544" t="str" cm="1">
        <f t="array" ref="F544">_xlfn.SWITCH(MID(E544,6,1),"S","Sucker","C","Crown","N","Nursery","")</f>
        <v/>
      </c>
      <c r="G544" t="str" cm="1">
        <f t="array" ref="G544">_xlfn.SWITCH(MID(E544,7,1),"S","Sedang","K","Kecil","B","Besar","")</f>
        <v/>
      </c>
    </row>
    <row r="545" spans="1:7" x14ac:dyDescent="0.3">
      <c r="A545" s="1" t="s">
        <v>544</v>
      </c>
      <c r="B545" s="1" t="s">
        <v>792</v>
      </c>
      <c r="C545" s="2">
        <v>10.1</v>
      </c>
      <c r="D545" s="1" t="s">
        <v>713</v>
      </c>
      <c r="E545" s="1" t="s">
        <v>710</v>
      </c>
      <c r="F545" t="str" cm="1">
        <f t="array" ref="F545">_xlfn.SWITCH(MID(E545,6,1),"S","Sucker","C","Crown","N","Nursery","")</f>
        <v/>
      </c>
      <c r="G545" t="str" cm="1">
        <f t="array" ref="G545">_xlfn.SWITCH(MID(E545,7,1),"S","Sedang","K","Kecil","B","Besar","")</f>
        <v/>
      </c>
    </row>
    <row r="546" spans="1:7" x14ac:dyDescent="0.3">
      <c r="A546" s="1" t="s">
        <v>545</v>
      </c>
      <c r="B546" s="1" t="s">
        <v>792</v>
      </c>
      <c r="C546" s="2">
        <v>4.88</v>
      </c>
      <c r="D546" s="1" t="s">
        <v>750</v>
      </c>
      <c r="E546" s="1" t="s">
        <v>710</v>
      </c>
      <c r="F546" t="str" cm="1">
        <f t="array" ref="F546">_xlfn.SWITCH(MID(E546,6,1),"S","Sucker","C","Crown","N","Nursery","")</f>
        <v/>
      </c>
      <c r="G546" t="str" cm="1">
        <f t="array" ref="G546">_xlfn.SWITCH(MID(E546,7,1),"S","Sedang","K","Kecil","B","Besar","")</f>
        <v/>
      </c>
    </row>
    <row r="547" spans="1:7" x14ac:dyDescent="0.3">
      <c r="A547" s="1" t="s">
        <v>546</v>
      </c>
      <c r="B547" s="1" t="s">
        <v>792</v>
      </c>
      <c r="C547" s="2">
        <v>6.65</v>
      </c>
      <c r="D547" s="1" t="s">
        <v>750</v>
      </c>
      <c r="E547" s="1" t="s">
        <v>710</v>
      </c>
      <c r="F547" t="str" cm="1">
        <f t="array" ref="F547">_xlfn.SWITCH(MID(E547,6,1),"S","Sucker","C","Crown","N","Nursery","")</f>
        <v/>
      </c>
      <c r="G547" t="str" cm="1">
        <f t="array" ref="G547">_xlfn.SWITCH(MID(E547,7,1),"S","Sedang","K","Kecil","B","Besar","")</f>
        <v/>
      </c>
    </row>
    <row r="548" spans="1:7" x14ac:dyDescent="0.3">
      <c r="A548" s="1" t="s">
        <v>547</v>
      </c>
      <c r="B548" s="1" t="s">
        <v>792</v>
      </c>
      <c r="C548" s="2">
        <v>5.59</v>
      </c>
      <c r="D548" s="1" t="s">
        <v>763</v>
      </c>
      <c r="E548" s="1" t="s">
        <v>710</v>
      </c>
      <c r="F548" t="str" cm="1">
        <f t="array" ref="F548">_xlfn.SWITCH(MID(E548,6,1),"S","Sucker","C","Crown","N","Nursery","")</f>
        <v/>
      </c>
      <c r="G548" t="str" cm="1">
        <f t="array" ref="G548">_xlfn.SWITCH(MID(E548,7,1),"S","Sedang","K","Kecil","B","Besar","")</f>
        <v/>
      </c>
    </row>
    <row r="549" spans="1:7" x14ac:dyDescent="0.3">
      <c r="A549" s="1" t="s">
        <v>548</v>
      </c>
      <c r="B549" s="1" t="s">
        <v>792</v>
      </c>
      <c r="C549" s="2">
        <v>4.07</v>
      </c>
      <c r="D549" s="1" t="s">
        <v>751</v>
      </c>
      <c r="E549" s="1" t="s">
        <v>711</v>
      </c>
      <c r="F549" t="str" cm="1">
        <f t="array" ref="F549">_xlfn.SWITCH(MID(E549,6,1),"S","Sucker","C","Crown","N","Nursery","")</f>
        <v>Crown</v>
      </c>
      <c r="G549" t="str" cm="1">
        <f t="array" ref="G549">_xlfn.SWITCH(MID(E549,7,1),"S","Sedang","K","Kecil","B","Besar","")</f>
        <v>Kecil</v>
      </c>
    </row>
    <row r="550" spans="1:7" x14ac:dyDescent="0.3">
      <c r="A550" s="1" t="s">
        <v>549</v>
      </c>
      <c r="B550" s="1" t="s">
        <v>794</v>
      </c>
      <c r="C550" s="2">
        <v>6.82</v>
      </c>
      <c r="D550" s="1" t="s">
        <v>756</v>
      </c>
      <c r="E550" s="1" t="s">
        <v>707</v>
      </c>
      <c r="F550" t="str" cm="1">
        <f t="array" ref="F550">_xlfn.SWITCH(MID(E550,6,1),"S","Sucker","C","Crown","N","Nursery","")</f>
        <v>Sucker</v>
      </c>
      <c r="G550" t="str" cm="1">
        <f t="array" ref="G550">_xlfn.SWITCH(MID(E550,7,1),"S","Sedang","K","Kecil","B","Besar","")</f>
        <v>Sedang</v>
      </c>
    </row>
    <row r="551" spans="1:7" x14ac:dyDescent="0.3">
      <c r="A551" s="1" t="s">
        <v>550</v>
      </c>
      <c r="B551" s="1" t="s">
        <v>794</v>
      </c>
      <c r="C551" s="2">
        <v>10.96</v>
      </c>
      <c r="D551" s="1" t="s">
        <v>756</v>
      </c>
      <c r="E551" s="1" t="s">
        <v>711</v>
      </c>
      <c r="F551" t="str" cm="1">
        <f t="array" ref="F551">_xlfn.SWITCH(MID(E551,6,1),"S","Sucker","C","Crown","N","Nursery","")</f>
        <v>Crown</v>
      </c>
      <c r="G551" t="str" cm="1">
        <f t="array" ref="G551">_xlfn.SWITCH(MID(E551,7,1),"S","Sedang","K","Kecil","B","Besar","")</f>
        <v>Kecil</v>
      </c>
    </row>
    <row r="552" spans="1:7" x14ac:dyDescent="0.3">
      <c r="A552" s="1" t="s">
        <v>551</v>
      </c>
      <c r="B552" s="1" t="s">
        <v>794</v>
      </c>
      <c r="C552" s="2">
        <v>3.62</v>
      </c>
      <c r="D552" s="1" t="s">
        <v>729</v>
      </c>
      <c r="E552" s="1" t="s">
        <v>710</v>
      </c>
      <c r="F552" t="str" cm="1">
        <f t="array" ref="F552">_xlfn.SWITCH(MID(E552,6,1),"S","Sucker","C","Crown","N","Nursery","")</f>
        <v/>
      </c>
      <c r="G552" t="str" cm="1">
        <f t="array" ref="G552">_xlfn.SWITCH(MID(E552,7,1),"S","Sedang","K","Kecil","B","Besar","")</f>
        <v/>
      </c>
    </row>
    <row r="553" spans="1:7" x14ac:dyDescent="0.3">
      <c r="A553" s="1" t="s">
        <v>552</v>
      </c>
      <c r="B553" s="1" t="s">
        <v>794</v>
      </c>
      <c r="C553" s="2">
        <v>5.39</v>
      </c>
      <c r="D553" s="1" t="s">
        <v>739</v>
      </c>
      <c r="E553" s="1" t="s">
        <v>710</v>
      </c>
      <c r="F553" t="str" cm="1">
        <f t="array" ref="F553">_xlfn.SWITCH(MID(E553,6,1),"S","Sucker","C","Crown","N","Nursery","")</f>
        <v/>
      </c>
      <c r="G553" t="str" cm="1">
        <f t="array" ref="G553">_xlfn.SWITCH(MID(E553,7,1),"S","Sedang","K","Kecil","B","Besar","")</f>
        <v/>
      </c>
    </row>
    <row r="554" spans="1:7" x14ac:dyDescent="0.3">
      <c r="A554" s="1" t="s">
        <v>553</v>
      </c>
      <c r="B554" s="1" t="s">
        <v>794</v>
      </c>
      <c r="C554" s="2">
        <v>6.2</v>
      </c>
      <c r="D554" s="1" t="s">
        <v>719</v>
      </c>
      <c r="E554" s="1" t="s">
        <v>734</v>
      </c>
      <c r="F554" t="str" cm="1">
        <f t="array" ref="F554">_xlfn.SWITCH(MID(E554,6,1),"S","Sucker","C","Crown","N","Nursery","")</f>
        <v>Sucker</v>
      </c>
      <c r="G554" t="str" cm="1">
        <f t="array" ref="G554">_xlfn.SWITCH(MID(E554,7,1),"S","Sedang","K","Kecil","B","Besar","")</f>
        <v>Kecil</v>
      </c>
    </row>
    <row r="555" spans="1:7" x14ac:dyDescent="0.3">
      <c r="A555" s="1" t="s">
        <v>554</v>
      </c>
      <c r="B555" s="1" t="s">
        <v>794</v>
      </c>
      <c r="C555" s="2">
        <v>10.7</v>
      </c>
      <c r="D555" s="1" t="s">
        <v>735</v>
      </c>
      <c r="E555" s="1" t="s">
        <v>736</v>
      </c>
      <c r="F555" t="str" cm="1">
        <f t="array" ref="F555">_xlfn.SWITCH(MID(E555,6,1),"S","Sucker","C","Crown","N","Nursery","")</f>
        <v>Crown</v>
      </c>
      <c r="G555" t="str" cm="1">
        <f t="array" ref="G555">_xlfn.SWITCH(MID(E555,7,1),"S","Sedang","K","Kecil","B","Besar","")</f>
        <v/>
      </c>
    </row>
    <row r="556" spans="1:7" x14ac:dyDescent="0.3">
      <c r="A556" s="1" t="s">
        <v>555</v>
      </c>
      <c r="B556" s="1" t="s">
        <v>794</v>
      </c>
      <c r="C556" s="2">
        <v>5.15</v>
      </c>
      <c r="D556" s="1" t="s">
        <v>751</v>
      </c>
      <c r="E556" s="1" t="s">
        <v>711</v>
      </c>
      <c r="F556" t="str" cm="1">
        <f t="array" ref="F556">_xlfn.SWITCH(MID(E556,6,1),"S","Sucker","C","Crown","N","Nursery","")</f>
        <v>Crown</v>
      </c>
      <c r="G556" t="str" cm="1">
        <f t="array" ref="G556">_xlfn.SWITCH(MID(E556,7,1),"S","Sedang","K","Kecil","B","Besar","")</f>
        <v>Kecil</v>
      </c>
    </row>
    <row r="557" spans="1:7" x14ac:dyDescent="0.3">
      <c r="A557" s="1" t="s">
        <v>556</v>
      </c>
      <c r="B557" s="1" t="s">
        <v>794</v>
      </c>
      <c r="C557" s="2">
        <v>3.83</v>
      </c>
      <c r="D557" s="1" t="s">
        <v>754</v>
      </c>
      <c r="E557" s="1" t="s">
        <v>707</v>
      </c>
      <c r="F557" t="str" cm="1">
        <f t="array" ref="F557">_xlfn.SWITCH(MID(E557,6,1),"S","Sucker","C","Crown","N","Nursery","")</f>
        <v>Sucker</v>
      </c>
      <c r="G557" t="str" cm="1">
        <f t="array" ref="G557">_xlfn.SWITCH(MID(E557,7,1),"S","Sedang","K","Kecil","B","Besar","")</f>
        <v>Sedang</v>
      </c>
    </row>
    <row r="558" spans="1:7" x14ac:dyDescent="0.3">
      <c r="A558" s="1" t="s">
        <v>557</v>
      </c>
      <c r="B558" s="1" t="s">
        <v>794</v>
      </c>
      <c r="C558" s="2">
        <v>7.8</v>
      </c>
      <c r="D558" s="1" t="s">
        <v>722</v>
      </c>
      <c r="E558" s="1" t="s">
        <v>710</v>
      </c>
      <c r="F558" t="str" cm="1">
        <f t="array" ref="F558">_xlfn.SWITCH(MID(E558,6,1),"S","Sucker","C","Crown","N","Nursery","")</f>
        <v/>
      </c>
      <c r="G558" t="str" cm="1">
        <f t="array" ref="G558">_xlfn.SWITCH(MID(E558,7,1),"S","Sedang","K","Kecil","B","Besar","")</f>
        <v/>
      </c>
    </row>
    <row r="559" spans="1:7" x14ac:dyDescent="0.3">
      <c r="A559" s="1" t="s">
        <v>558</v>
      </c>
      <c r="B559" s="1" t="s">
        <v>794</v>
      </c>
      <c r="C559" s="2">
        <v>8.0299999999999994</v>
      </c>
      <c r="D559" s="1" t="s">
        <v>722</v>
      </c>
      <c r="E559" s="1" t="s">
        <v>710</v>
      </c>
      <c r="F559" t="str" cm="1">
        <f t="array" ref="F559">_xlfn.SWITCH(MID(E559,6,1),"S","Sucker","C","Crown","N","Nursery","")</f>
        <v/>
      </c>
      <c r="G559" t="str" cm="1">
        <f t="array" ref="G559">_xlfn.SWITCH(MID(E559,7,1),"S","Sedang","K","Kecil","B","Besar","")</f>
        <v/>
      </c>
    </row>
    <row r="560" spans="1:7" x14ac:dyDescent="0.3">
      <c r="A560" s="1" t="s">
        <v>559</v>
      </c>
      <c r="B560" s="1" t="s">
        <v>794</v>
      </c>
      <c r="C560" s="2">
        <v>1.53</v>
      </c>
      <c r="D560" s="1" t="s">
        <v>795</v>
      </c>
      <c r="E560" s="1" t="s">
        <v>710</v>
      </c>
      <c r="F560" t="str" cm="1">
        <f t="array" ref="F560">_xlfn.SWITCH(MID(E560,6,1),"S","Sucker","C","Crown","N","Nursery","")</f>
        <v/>
      </c>
      <c r="G560" t="str" cm="1">
        <f t="array" ref="G560">_xlfn.SWITCH(MID(E560,7,1),"S","Sedang","K","Kecil","B","Besar","")</f>
        <v/>
      </c>
    </row>
    <row r="561" spans="1:7" x14ac:dyDescent="0.3">
      <c r="A561" s="1" t="s">
        <v>560</v>
      </c>
      <c r="B561" s="1" t="s">
        <v>794</v>
      </c>
      <c r="C561" s="2">
        <v>5.05</v>
      </c>
      <c r="D561" s="1" t="s">
        <v>749</v>
      </c>
      <c r="E561" s="1" t="s">
        <v>710</v>
      </c>
      <c r="F561" t="str" cm="1">
        <f t="array" ref="F561">_xlfn.SWITCH(MID(E561,6,1),"S","Sucker","C","Crown","N","Nursery","")</f>
        <v/>
      </c>
      <c r="G561" t="str" cm="1">
        <f t="array" ref="G561">_xlfn.SWITCH(MID(E561,7,1),"S","Sedang","K","Kecil","B","Besar","")</f>
        <v/>
      </c>
    </row>
    <row r="562" spans="1:7" x14ac:dyDescent="0.3">
      <c r="A562" s="1" t="s">
        <v>561</v>
      </c>
      <c r="B562" s="1" t="s">
        <v>794</v>
      </c>
      <c r="C562" s="2">
        <v>5.52</v>
      </c>
      <c r="D562" s="1" t="s">
        <v>725</v>
      </c>
      <c r="E562" s="1" t="s">
        <v>710</v>
      </c>
      <c r="F562" t="str" cm="1">
        <f t="array" ref="F562">_xlfn.SWITCH(MID(E562,6,1),"S","Sucker","C","Crown","N","Nursery","")</f>
        <v/>
      </c>
      <c r="G562" t="str" cm="1">
        <f t="array" ref="G562">_xlfn.SWITCH(MID(E562,7,1),"S","Sedang","K","Kecil","B","Besar","")</f>
        <v/>
      </c>
    </row>
    <row r="563" spans="1:7" x14ac:dyDescent="0.3">
      <c r="A563" s="1" t="s">
        <v>562</v>
      </c>
      <c r="B563" s="1" t="s">
        <v>794</v>
      </c>
      <c r="C563" s="2">
        <v>8.1199999999999992</v>
      </c>
      <c r="D563" s="1" t="s">
        <v>750</v>
      </c>
      <c r="E563" s="1" t="s">
        <v>710</v>
      </c>
      <c r="F563" t="str" cm="1">
        <f t="array" ref="F563">_xlfn.SWITCH(MID(E563,6,1),"S","Sucker","C","Crown","N","Nursery","")</f>
        <v/>
      </c>
      <c r="G563" t="str" cm="1">
        <f t="array" ref="G563">_xlfn.SWITCH(MID(E563,7,1),"S","Sedang","K","Kecil","B","Besar","")</f>
        <v/>
      </c>
    </row>
    <row r="564" spans="1:7" x14ac:dyDescent="0.3">
      <c r="A564" s="1" t="s">
        <v>563</v>
      </c>
      <c r="B564" s="1" t="s">
        <v>790</v>
      </c>
      <c r="C564" s="2">
        <v>4.41</v>
      </c>
      <c r="D564" s="1" t="s">
        <v>714</v>
      </c>
      <c r="E564" s="1" t="s">
        <v>711</v>
      </c>
      <c r="F564" t="str" cm="1">
        <f t="array" ref="F564">_xlfn.SWITCH(MID(E564,6,1),"S","Sucker","C","Crown","N","Nursery","")</f>
        <v>Crown</v>
      </c>
      <c r="G564" t="str" cm="1">
        <f t="array" ref="G564">_xlfn.SWITCH(MID(E564,7,1),"S","Sedang","K","Kecil","B","Besar","")</f>
        <v>Kecil</v>
      </c>
    </row>
    <row r="565" spans="1:7" x14ac:dyDescent="0.3">
      <c r="A565" s="1" t="s">
        <v>564</v>
      </c>
      <c r="B565" s="1" t="s">
        <v>790</v>
      </c>
      <c r="C565" s="2">
        <v>4.59</v>
      </c>
      <c r="D565" s="1" t="s">
        <v>714</v>
      </c>
      <c r="E565" s="1" t="s">
        <v>711</v>
      </c>
      <c r="F565" t="str" cm="1">
        <f t="array" ref="F565">_xlfn.SWITCH(MID(E565,6,1),"S","Sucker","C","Crown","N","Nursery","")</f>
        <v>Crown</v>
      </c>
      <c r="G565" t="str" cm="1">
        <f t="array" ref="G565">_xlfn.SWITCH(MID(E565,7,1),"S","Sedang","K","Kecil","B","Besar","")</f>
        <v>Kecil</v>
      </c>
    </row>
    <row r="566" spans="1:7" x14ac:dyDescent="0.3">
      <c r="A566" s="1" t="s">
        <v>565</v>
      </c>
      <c r="B566" s="1" t="s">
        <v>790</v>
      </c>
      <c r="C566" s="2">
        <v>12.99</v>
      </c>
      <c r="D566" s="1" t="s">
        <v>796</v>
      </c>
      <c r="E566" s="1" t="s">
        <v>710</v>
      </c>
      <c r="F566" t="str" cm="1">
        <f t="array" ref="F566">_xlfn.SWITCH(MID(E566,6,1),"S","Sucker","C","Crown","N","Nursery","")</f>
        <v/>
      </c>
      <c r="G566" t="str" cm="1">
        <f t="array" ref="G566">_xlfn.SWITCH(MID(E566,7,1),"S","Sedang","K","Kecil","B","Besar","")</f>
        <v/>
      </c>
    </row>
    <row r="567" spans="1:7" x14ac:dyDescent="0.3">
      <c r="A567" s="1" t="s">
        <v>566</v>
      </c>
      <c r="B567" s="1" t="s">
        <v>790</v>
      </c>
      <c r="C567" s="2">
        <v>5.73</v>
      </c>
      <c r="D567" s="1" t="s">
        <v>706</v>
      </c>
      <c r="E567" s="1" t="s">
        <v>707</v>
      </c>
      <c r="F567" t="str" cm="1">
        <f t="array" ref="F567">_xlfn.SWITCH(MID(E567,6,1),"S","Sucker","C","Crown","N","Nursery","")</f>
        <v>Sucker</v>
      </c>
      <c r="G567" t="str" cm="1">
        <f t="array" ref="G567">_xlfn.SWITCH(MID(E567,7,1),"S","Sedang","K","Kecil","B","Besar","")</f>
        <v>Sedang</v>
      </c>
    </row>
    <row r="568" spans="1:7" x14ac:dyDescent="0.3">
      <c r="A568" s="1" t="s">
        <v>567</v>
      </c>
      <c r="B568" s="1" t="s">
        <v>790</v>
      </c>
      <c r="C568" s="2">
        <v>8.0500000000000007</v>
      </c>
      <c r="D568" s="1" t="s">
        <v>706</v>
      </c>
      <c r="E568" s="1" t="s">
        <v>707</v>
      </c>
      <c r="F568" t="str" cm="1">
        <f t="array" ref="F568">_xlfn.SWITCH(MID(E568,6,1),"S","Sucker","C","Crown","N","Nursery","")</f>
        <v>Sucker</v>
      </c>
      <c r="G568" t="str" cm="1">
        <f t="array" ref="G568">_xlfn.SWITCH(MID(E568,7,1),"S","Sedang","K","Kecil","B","Besar","")</f>
        <v>Sedang</v>
      </c>
    </row>
    <row r="569" spans="1:7" x14ac:dyDescent="0.3">
      <c r="A569" s="1" t="s">
        <v>568</v>
      </c>
      <c r="B569" s="1" t="s">
        <v>790</v>
      </c>
      <c r="C569" s="2">
        <v>6.84</v>
      </c>
      <c r="D569" s="1" t="s">
        <v>720</v>
      </c>
      <c r="E569" s="1" t="s">
        <v>707</v>
      </c>
      <c r="F569" t="str" cm="1">
        <f t="array" ref="F569">_xlfn.SWITCH(MID(E569,6,1),"S","Sucker","C","Crown","N","Nursery","")</f>
        <v>Sucker</v>
      </c>
      <c r="G569" t="str" cm="1">
        <f t="array" ref="G569">_xlfn.SWITCH(MID(E569,7,1),"S","Sedang","K","Kecil","B","Besar","")</f>
        <v>Sedang</v>
      </c>
    </row>
    <row r="570" spans="1:7" x14ac:dyDescent="0.3">
      <c r="A570" s="1" t="s">
        <v>569</v>
      </c>
      <c r="B570" s="1" t="s">
        <v>790</v>
      </c>
      <c r="C570" s="2">
        <v>8.68</v>
      </c>
      <c r="D570" s="1" t="s">
        <v>720</v>
      </c>
      <c r="E570" s="1" t="s">
        <v>707</v>
      </c>
      <c r="F570" t="str" cm="1">
        <f t="array" ref="F570">_xlfn.SWITCH(MID(E570,6,1),"S","Sucker","C","Crown","N","Nursery","")</f>
        <v>Sucker</v>
      </c>
      <c r="G570" t="str" cm="1">
        <f t="array" ref="G570">_xlfn.SWITCH(MID(E570,7,1),"S","Sedang","K","Kecil","B","Besar","")</f>
        <v>Sedang</v>
      </c>
    </row>
    <row r="571" spans="1:7" x14ac:dyDescent="0.3">
      <c r="A571" s="1" t="s">
        <v>570</v>
      </c>
      <c r="B571" s="1" t="s">
        <v>790</v>
      </c>
      <c r="C571" s="2">
        <v>12.11</v>
      </c>
      <c r="D571" s="1" t="s">
        <v>740</v>
      </c>
      <c r="E571" s="1" t="s">
        <v>710</v>
      </c>
      <c r="F571" t="str" cm="1">
        <f t="array" ref="F571">_xlfn.SWITCH(MID(E571,6,1),"S","Sucker","C","Crown","N","Nursery","")</f>
        <v/>
      </c>
      <c r="G571" t="str" cm="1">
        <f t="array" ref="G571">_xlfn.SWITCH(MID(E571,7,1),"S","Sedang","K","Kecil","B","Besar","")</f>
        <v/>
      </c>
    </row>
    <row r="572" spans="1:7" x14ac:dyDescent="0.3">
      <c r="A572" s="1" t="s">
        <v>571</v>
      </c>
      <c r="B572" s="1" t="s">
        <v>790</v>
      </c>
      <c r="C572" s="2">
        <v>12.67</v>
      </c>
      <c r="D572" s="1" t="s">
        <v>749</v>
      </c>
      <c r="E572" s="1" t="s">
        <v>710</v>
      </c>
      <c r="F572" t="str" cm="1">
        <f t="array" ref="F572">_xlfn.SWITCH(MID(E572,6,1),"S","Sucker","C","Crown","N","Nursery","")</f>
        <v/>
      </c>
      <c r="G572" t="str" cm="1">
        <f t="array" ref="G572">_xlfn.SWITCH(MID(E572,7,1),"S","Sedang","K","Kecil","B","Besar","")</f>
        <v/>
      </c>
    </row>
    <row r="573" spans="1:7" x14ac:dyDescent="0.3">
      <c r="A573" s="1" t="s">
        <v>572</v>
      </c>
      <c r="B573" s="1" t="s">
        <v>790</v>
      </c>
      <c r="C573" s="2">
        <v>5.7</v>
      </c>
      <c r="D573" s="1" t="s">
        <v>754</v>
      </c>
      <c r="E573" s="1" t="s">
        <v>711</v>
      </c>
      <c r="F573" t="str" cm="1">
        <f t="array" ref="F573">_xlfn.SWITCH(MID(E573,6,1),"S","Sucker","C","Crown","N","Nursery","")</f>
        <v>Crown</v>
      </c>
      <c r="G573" t="str" cm="1">
        <f t="array" ref="G573">_xlfn.SWITCH(MID(E573,7,1),"S","Sedang","K","Kecil","B","Besar","")</f>
        <v>Kecil</v>
      </c>
    </row>
    <row r="574" spans="1:7" x14ac:dyDescent="0.3">
      <c r="A574" s="1" t="s">
        <v>573</v>
      </c>
      <c r="B574" s="1" t="s">
        <v>790</v>
      </c>
      <c r="C574" s="2">
        <v>7.53</v>
      </c>
      <c r="D574" s="1" t="s">
        <v>754</v>
      </c>
      <c r="E574" s="1" t="s">
        <v>736</v>
      </c>
      <c r="F574" t="str" cm="1">
        <f t="array" ref="F574">_xlfn.SWITCH(MID(E574,6,1),"S","Sucker","C","Crown","N","Nursery","")</f>
        <v>Crown</v>
      </c>
      <c r="G574" t="str" cm="1">
        <f t="array" ref="G574">_xlfn.SWITCH(MID(E574,7,1),"S","Sedang","K","Kecil","B","Besar","")</f>
        <v/>
      </c>
    </row>
    <row r="575" spans="1:7" x14ac:dyDescent="0.3">
      <c r="A575" s="1" t="s">
        <v>574</v>
      </c>
      <c r="B575" s="1" t="s">
        <v>790</v>
      </c>
      <c r="C575" s="2">
        <v>6.64</v>
      </c>
      <c r="D575" s="1" t="s">
        <v>725</v>
      </c>
      <c r="E575" s="1" t="s">
        <v>710</v>
      </c>
      <c r="F575" t="str" cm="1">
        <f t="array" ref="F575">_xlfn.SWITCH(MID(E575,6,1),"S","Sucker","C","Crown","N","Nursery","")</f>
        <v/>
      </c>
      <c r="G575" t="str" cm="1">
        <f t="array" ref="G575">_xlfn.SWITCH(MID(E575,7,1),"S","Sedang","K","Kecil","B","Besar","")</f>
        <v/>
      </c>
    </row>
    <row r="576" spans="1:7" x14ac:dyDescent="0.3">
      <c r="A576" s="1" t="s">
        <v>575</v>
      </c>
      <c r="B576" s="1" t="s">
        <v>794</v>
      </c>
      <c r="C576" s="2">
        <v>10.83</v>
      </c>
      <c r="D576" s="1" t="s">
        <v>706</v>
      </c>
      <c r="E576" s="1" t="s">
        <v>711</v>
      </c>
      <c r="F576" t="str" cm="1">
        <f t="array" ref="F576">_xlfn.SWITCH(MID(E576,6,1),"S","Sucker","C","Crown","N","Nursery","")</f>
        <v>Crown</v>
      </c>
      <c r="G576" t="str" cm="1">
        <f t="array" ref="G576">_xlfn.SWITCH(MID(E576,7,1),"S","Sedang","K","Kecil","B","Besar","")</f>
        <v>Kecil</v>
      </c>
    </row>
    <row r="577" spans="1:7" x14ac:dyDescent="0.3">
      <c r="A577" s="1" t="s">
        <v>576</v>
      </c>
      <c r="B577" s="1" t="s">
        <v>794</v>
      </c>
      <c r="C577" s="2">
        <v>3.57</v>
      </c>
      <c r="D577" s="1" t="s">
        <v>706</v>
      </c>
      <c r="E577" s="1" t="s">
        <v>707</v>
      </c>
      <c r="F577" t="str" cm="1">
        <f t="array" ref="F577">_xlfn.SWITCH(MID(E577,6,1),"S","Sucker","C","Crown","N","Nursery","")</f>
        <v>Sucker</v>
      </c>
      <c r="G577" t="str" cm="1">
        <f t="array" ref="G577">_xlfn.SWITCH(MID(E577,7,1),"S","Sedang","K","Kecil","B","Besar","")</f>
        <v>Sedang</v>
      </c>
    </row>
    <row r="578" spans="1:7" x14ac:dyDescent="0.3">
      <c r="A578" s="1" t="s">
        <v>577</v>
      </c>
      <c r="B578" s="1" t="s">
        <v>794</v>
      </c>
      <c r="C578" s="2">
        <v>9.4499999999999993</v>
      </c>
      <c r="D578" s="1" t="s">
        <v>733</v>
      </c>
      <c r="E578" s="1" t="s">
        <v>710</v>
      </c>
      <c r="F578" t="str" cm="1">
        <f t="array" ref="F578">_xlfn.SWITCH(MID(E578,6,1),"S","Sucker","C","Crown","N","Nursery","")</f>
        <v/>
      </c>
      <c r="G578" t="str" cm="1">
        <f t="array" ref="G578">_xlfn.SWITCH(MID(E578,7,1),"S","Sedang","K","Kecil","B","Besar","")</f>
        <v/>
      </c>
    </row>
    <row r="579" spans="1:7" x14ac:dyDescent="0.3">
      <c r="A579" s="1" t="s">
        <v>578</v>
      </c>
      <c r="B579" s="1" t="s">
        <v>794</v>
      </c>
      <c r="C579" s="2">
        <v>10.029999999999999</v>
      </c>
      <c r="D579" s="1" t="s">
        <v>712</v>
      </c>
      <c r="E579" s="1" t="s">
        <v>711</v>
      </c>
      <c r="F579" t="str" cm="1">
        <f t="array" ref="F579">_xlfn.SWITCH(MID(E579,6,1),"S","Sucker","C","Crown","N","Nursery","")</f>
        <v>Crown</v>
      </c>
      <c r="G579" t="str" cm="1">
        <f t="array" ref="G579">_xlfn.SWITCH(MID(E579,7,1),"S","Sedang","K","Kecil","B","Besar","")</f>
        <v>Kecil</v>
      </c>
    </row>
    <row r="580" spans="1:7" x14ac:dyDescent="0.3">
      <c r="A580" s="1" t="s">
        <v>579</v>
      </c>
      <c r="B580" s="1" t="s">
        <v>794</v>
      </c>
      <c r="C580" s="2">
        <v>9.73</v>
      </c>
      <c r="D580" s="1" t="s">
        <v>740</v>
      </c>
      <c r="E580" s="1" t="s">
        <v>710</v>
      </c>
      <c r="F580" t="str" cm="1">
        <f t="array" ref="F580">_xlfn.SWITCH(MID(E580,6,1),"S","Sucker","C","Crown","N","Nursery","")</f>
        <v/>
      </c>
      <c r="G580" t="str" cm="1">
        <f t="array" ref="G580">_xlfn.SWITCH(MID(E580,7,1),"S","Sedang","K","Kecil","B","Besar","")</f>
        <v/>
      </c>
    </row>
    <row r="581" spans="1:7" x14ac:dyDescent="0.3">
      <c r="A581" s="1" t="s">
        <v>580</v>
      </c>
      <c r="B581" s="1" t="s">
        <v>794</v>
      </c>
      <c r="C581" s="2">
        <v>7.75</v>
      </c>
      <c r="D581" s="1" t="s">
        <v>730</v>
      </c>
      <c r="E581" s="1" t="s">
        <v>710</v>
      </c>
      <c r="F581" t="str" cm="1">
        <f t="array" ref="F581">_xlfn.SWITCH(MID(E581,6,1),"S","Sucker","C","Crown","N","Nursery","")</f>
        <v/>
      </c>
      <c r="G581" t="str" cm="1">
        <f t="array" ref="G581">_xlfn.SWITCH(MID(E581,7,1),"S","Sedang","K","Kecil","B","Besar","")</f>
        <v/>
      </c>
    </row>
    <row r="582" spans="1:7" x14ac:dyDescent="0.3">
      <c r="A582" s="1" t="s">
        <v>581</v>
      </c>
      <c r="B582" s="1" t="s">
        <v>794</v>
      </c>
      <c r="C582" s="2">
        <v>9.6999999999999993</v>
      </c>
      <c r="D582" s="1" t="s">
        <v>745</v>
      </c>
      <c r="E582" s="1" t="s">
        <v>710</v>
      </c>
      <c r="F582" t="str" cm="1">
        <f t="array" ref="F582">_xlfn.SWITCH(MID(E582,6,1),"S","Sucker","C","Crown","N","Nursery","")</f>
        <v/>
      </c>
      <c r="G582" t="str" cm="1">
        <f t="array" ref="G582">_xlfn.SWITCH(MID(E582,7,1),"S","Sedang","K","Kecil","B","Besar","")</f>
        <v/>
      </c>
    </row>
    <row r="583" spans="1:7" x14ac:dyDescent="0.3">
      <c r="A583" s="1" t="s">
        <v>582</v>
      </c>
      <c r="B583" s="1" t="s">
        <v>794</v>
      </c>
      <c r="C583" s="2">
        <v>11.93</v>
      </c>
      <c r="D583" s="1" t="s">
        <v>758</v>
      </c>
      <c r="E583" s="1" t="s">
        <v>710</v>
      </c>
      <c r="F583" t="str" cm="1">
        <f t="array" ref="F583">_xlfn.SWITCH(MID(E583,6,1),"S","Sucker","C","Crown","N","Nursery","")</f>
        <v/>
      </c>
      <c r="G583" t="str" cm="1">
        <f t="array" ref="G583">_xlfn.SWITCH(MID(E583,7,1),"S","Sedang","K","Kecil","B","Besar","")</f>
        <v/>
      </c>
    </row>
    <row r="584" spans="1:7" x14ac:dyDescent="0.3">
      <c r="A584" s="1" t="s">
        <v>583</v>
      </c>
      <c r="B584" s="1" t="s">
        <v>794</v>
      </c>
      <c r="C584" s="2">
        <v>3.77</v>
      </c>
      <c r="D584" s="1" t="s">
        <v>709</v>
      </c>
      <c r="E584" s="1" t="s">
        <v>710</v>
      </c>
      <c r="F584" t="str" cm="1">
        <f t="array" ref="F584">_xlfn.SWITCH(MID(E584,6,1),"S","Sucker","C","Crown","N","Nursery","")</f>
        <v/>
      </c>
      <c r="G584" t="str" cm="1">
        <f t="array" ref="G584">_xlfn.SWITCH(MID(E584,7,1),"S","Sedang","K","Kecil","B","Besar","")</f>
        <v/>
      </c>
    </row>
    <row r="585" spans="1:7" x14ac:dyDescent="0.3">
      <c r="A585" s="1" t="s">
        <v>584</v>
      </c>
      <c r="B585" s="1" t="s">
        <v>794</v>
      </c>
      <c r="C585" s="2">
        <v>12.42</v>
      </c>
      <c r="D585" s="1" t="s">
        <v>716</v>
      </c>
      <c r="E585" s="1" t="s">
        <v>710</v>
      </c>
      <c r="F585" t="str" cm="1">
        <f t="array" ref="F585">_xlfn.SWITCH(MID(E585,6,1),"S","Sucker","C","Crown","N","Nursery","")</f>
        <v/>
      </c>
      <c r="G585" t="str" cm="1">
        <f t="array" ref="G585">_xlfn.SWITCH(MID(E585,7,1),"S","Sedang","K","Kecil","B","Besar","")</f>
        <v/>
      </c>
    </row>
    <row r="586" spans="1:7" x14ac:dyDescent="0.3">
      <c r="A586" s="1" t="s">
        <v>585</v>
      </c>
      <c r="B586" s="1" t="s">
        <v>794</v>
      </c>
      <c r="C586" s="2">
        <v>8.3699999999999992</v>
      </c>
      <c r="D586" s="1" t="s">
        <v>725</v>
      </c>
      <c r="E586" s="1" t="s">
        <v>710</v>
      </c>
      <c r="F586" t="str" cm="1">
        <f t="array" ref="F586">_xlfn.SWITCH(MID(E586,6,1),"S","Sucker","C","Crown","N","Nursery","")</f>
        <v/>
      </c>
      <c r="G586" t="str" cm="1">
        <f t="array" ref="G586">_xlfn.SWITCH(MID(E586,7,1),"S","Sedang","K","Kecil","B","Besar","")</f>
        <v/>
      </c>
    </row>
    <row r="587" spans="1:7" x14ac:dyDescent="0.3">
      <c r="A587" s="1" t="s">
        <v>586</v>
      </c>
      <c r="B587" s="1" t="s">
        <v>794</v>
      </c>
      <c r="C587" s="2">
        <v>5.49</v>
      </c>
      <c r="D587" s="1" t="s">
        <v>756</v>
      </c>
      <c r="E587" s="1" t="s">
        <v>711</v>
      </c>
      <c r="F587" t="str" cm="1">
        <f t="array" ref="F587">_xlfn.SWITCH(MID(E587,6,1),"S","Sucker","C","Crown","N","Nursery","")</f>
        <v>Crown</v>
      </c>
      <c r="G587" t="str" cm="1">
        <f t="array" ref="G587">_xlfn.SWITCH(MID(E587,7,1),"S","Sedang","K","Kecil","B","Besar","")</f>
        <v>Kecil</v>
      </c>
    </row>
    <row r="588" spans="1:7" x14ac:dyDescent="0.3">
      <c r="A588" s="1" t="s">
        <v>587</v>
      </c>
      <c r="B588" s="1" t="s">
        <v>794</v>
      </c>
      <c r="C588" s="2">
        <v>7.73</v>
      </c>
      <c r="D588" s="1" t="s">
        <v>756</v>
      </c>
      <c r="E588" s="1" t="s">
        <v>711</v>
      </c>
      <c r="F588" t="str" cm="1">
        <f t="array" ref="F588">_xlfn.SWITCH(MID(E588,6,1),"S","Sucker","C","Crown","N","Nursery","")</f>
        <v>Crown</v>
      </c>
      <c r="G588" t="str" cm="1">
        <f t="array" ref="G588">_xlfn.SWITCH(MID(E588,7,1),"S","Sedang","K","Kecil","B","Besar","")</f>
        <v>Kecil</v>
      </c>
    </row>
    <row r="589" spans="1:7" x14ac:dyDescent="0.3">
      <c r="A589" s="1" t="s">
        <v>588</v>
      </c>
      <c r="B589" s="1" t="s">
        <v>794</v>
      </c>
      <c r="C589" s="2">
        <v>12.79</v>
      </c>
      <c r="D589" s="1" t="s">
        <v>714</v>
      </c>
      <c r="E589" s="1" t="s">
        <v>711</v>
      </c>
      <c r="F589" t="str" cm="1">
        <f t="array" ref="F589">_xlfn.SWITCH(MID(E589,6,1),"S","Sucker","C","Crown","N","Nursery","")</f>
        <v>Crown</v>
      </c>
      <c r="G589" t="str" cm="1">
        <f t="array" ref="G589">_xlfn.SWITCH(MID(E589,7,1),"S","Sedang","K","Kecil","B","Besar","")</f>
        <v>Kecil</v>
      </c>
    </row>
    <row r="590" spans="1:7" x14ac:dyDescent="0.3">
      <c r="A590" s="1" t="s">
        <v>589</v>
      </c>
      <c r="B590" s="1" t="s">
        <v>794</v>
      </c>
      <c r="C590" s="2">
        <v>11.81</v>
      </c>
      <c r="D590" s="1" t="s">
        <v>731</v>
      </c>
      <c r="E590" s="1" t="s">
        <v>727</v>
      </c>
      <c r="F590" t="str" cm="1">
        <f t="array" ref="F590">_xlfn.SWITCH(MID(E590,6,1),"S","Sucker","C","Crown","N","Nursery","")</f>
        <v>Sucker</v>
      </c>
      <c r="G590" t="str" cm="1">
        <f t="array" ref="G590">_xlfn.SWITCH(MID(E590,7,1),"S","Sedang","K","Kecil","B","Besar","")</f>
        <v>Besar</v>
      </c>
    </row>
    <row r="591" spans="1:7" x14ac:dyDescent="0.3">
      <c r="A591" s="1" t="s">
        <v>590</v>
      </c>
      <c r="B591" s="1" t="s">
        <v>794</v>
      </c>
      <c r="C591" s="2">
        <v>6.78</v>
      </c>
      <c r="D591" s="1" t="s">
        <v>740</v>
      </c>
      <c r="E591" s="1" t="s">
        <v>710</v>
      </c>
      <c r="F591" t="str" cm="1">
        <f t="array" ref="F591">_xlfn.SWITCH(MID(E591,6,1),"S","Sucker","C","Crown","N","Nursery","")</f>
        <v/>
      </c>
      <c r="G591" t="str" cm="1">
        <f t="array" ref="G591">_xlfn.SWITCH(MID(E591,7,1),"S","Sedang","K","Kecil","B","Besar","")</f>
        <v/>
      </c>
    </row>
    <row r="592" spans="1:7" x14ac:dyDescent="0.3">
      <c r="A592" s="1" t="s">
        <v>591</v>
      </c>
      <c r="B592" s="1" t="s">
        <v>794</v>
      </c>
      <c r="C592" s="2">
        <v>6.56</v>
      </c>
      <c r="D592" s="1" t="s">
        <v>720</v>
      </c>
      <c r="E592" s="1" t="s">
        <v>711</v>
      </c>
      <c r="F592" t="str" cm="1">
        <f t="array" ref="F592">_xlfn.SWITCH(MID(E592,6,1),"S","Sucker","C","Crown","N","Nursery","")</f>
        <v>Crown</v>
      </c>
      <c r="G592" t="str" cm="1">
        <f t="array" ref="G592">_xlfn.SWITCH(MID(E592,7,1),"S","Sedang","K","Kecil","B","Besar","")</f>
        <v>Kecil</v>
      </c>
    </row>
    <row r="593" spans="1:7" x14ac:dyDescent="0.3">
      <c r="A593" s="1" t="s">
        <v>592</v>
      </c>
      <c r="B593" s="1" t="s">
        <v>794</v>
      </c>
      <c r="C593" s="2">
        <v>8.4</v>
      </c>
      <c r="D593" s="1" t="s">
        <v>732</v>
      </c>
      <c r="E593" s="1" t="s">
        <v>710</v>
      </c>
      <c r="F593" t="str" cm="1">
        <f t="array" ref="F593">_xlfn.SWITCH(MID(E593,6,1),"S","Sucker","C","Crown","N","Nursery","")</f>
        <v/>
      </c>
      <c r="G593" t="str" cm="1">
        <f t="array" ref="G593">_xlfn.SWITCH(MID(E593,7,1),"S","Sedang","K","Kecil","B","Besar","")</f>
        <v/>
      </c>
    </row>
    <row r="594" spans="1:7" x14ac:dyDescent="0.3">
      <c r="A594" s="1" t="s">
        <v>593</v>
      </c>
      <c r="B594" s="1" t="s">
        <v>794</v>
      </c>
      <c r="C594" s="2">
        <v>11.18</v>
      </c>
      <c r="D594" s="1" t="s">
        <v>757</v>
      </c>
      <c r="E594" s="1" t="s">
        <v>710</v>
      </c>
      <c r="F594" t="str" cm="1">
        <f t="array" ref="F594">_xlfn.SWITCH(MID(E594,6,1),"S","Sucker","C","Crown","N","Nursery","")</f>
        <v/>
      </c>
      <c r="G594" t="str" cm="1">
        <f t="array" ref="G594">_xlfn.SWITCH(MID(E594,7,1),"S","Sedang","K","Kecil","B","Besar","")</f>
        <v/>
      </c>
    </row>
    <row r="595" spans="1:7" x14ac:dyDescent="0.3">
      <c r="A595" s="1" t="s">
        <v>594</v>
      </c>
      <c r="B595" s="1" t="s">
        <v>794</v>
      </c>
      <c r="C595" s="2">
        <v>6.26</v>
      </c>
      <c r="D595" s="1" t="s">
        <v>750</v>
      </c>
      <c r="E595" s="1" t="s">
        <v>710</v>
      </c>
      <c r="F595" t="str" cm="1">
        <f t="array" ref="F595">_xlfn.SWITCH(MID(E595,6,1),"S","Sucker","C","Crown","N","Nursery","")</f>
        <v/>
      </c>
      <c r="G595" t="str" cm="1">
        <f t="array" ref="G595">_xlfn.SWITCH(MID(E595,7,1),"S","Sedang","K","Kecil","B","Besar","")</f>
        <v/>
      </c>
    </row>
    <row r="596" spans="1:7" x14ac:dyDescent="0.3">
      <c r="A596" s="1" t="s">
        <v>595</v>
      </c>
      <c r="B596" s="1" t="s">
        <v>794</v>
      </c>
      <c r="C596" s="2">
        <v>8.7200000000000006</v>
      </c>
      <c r="D596" s="1" t="s">
        <v>751</v>
      </c>
      <c r="E596" s="1" t="s">
        <v>711</v>
      </c>
      <c r="F596" t="str" cm="1">
        <f t="array" ref="F596">_xlfn.SWITCH(MID(E596,6,1),"S","Sucker","C","Crown","N","Nursery","")</f>
        <v>Crown</v>
      </c>
      <c r="G596" t="str" cm="1">
        <f t="array" ref="G596">_xlfn.SWITCH(MID(E596,7,1),"S","Sedang","K","Kecil","B","Besar","")</f>
        <v>Kecil</v>
      </c>
    </row>
    <row r="597" spans="1:7" x14ac:dyDescent="0.3">
      <c r="A597" s="1" t="s">
        <v>596</v>
      </c>
      <c r="B597" s="1" t="s">
        <v>794</v>
      </c>
      <c r="C597" s="2">
        <v>12.44</v>
      </c>
      <c r="D597" s="1" t="s">
        <v>738</v>
      </c>
      <c r="E597" s="1" t="s">
        <v>711</v>
      </c>
      <c r="F597" t="str" cm="1">
        <f t="array" ref="F597">_xlfn.SWITCH(MID(E597,6,1),"S","Sucker","C","Crown","N","Nursery","")</f>
        <v>Crown</v>
      </c>
      <c r="G597" t="str" cm="1">
        <f t="array" ref="G597">_xlfn.SWITCH(MID(E597,7,1),"S","Sedang","K","Kecil","B","Besar","")</f>
        <v>Kecil</v>
      </c>
    </row>
    <row r="598" spans="1:7" x14ac:dyDescent="0.3">
      <c r="A598" s="1" t="s">
        <v>597</v>
      </c>
      <c r="B598" s="1" t="s">
        <v>794</v>
      </c>
      <c r="C598" s="2">
        <v>13.21</v>
      </c>
      <c r="D598" s="1" t="s">
        <v>732</v>
      </c>
      <c r="E598" s="1" t="s">
        <v>710</v>
      </c>
      <c r="F598" t="str" cm="1">
        <f t="array" ref="F598">_xlfn.SWITCH(MID(E598,6,1),"S","Sucker","C","Crown","N","Nursery","")</f>
        <v/>
      </c>
      <c r="G598" t="str" cm="1">
        <f t="array" ref="G598">_xlfn.SWITCH(MID(E598,7,1),"S","Sedang","K","Kecil","B","Besar","")</f>
        <v/>
      </c>
    </row>
    <row r="599" spans="1:7" x14ac:dyDescent="0.3">
      <c r="A599" s="1" t="s">
        <v>598</v>
      </c>
      <c r="B599" s="1" t="s">
        <v>794</v>
      </c>
      <c r="C599" s="2">
        <v>8.6</v>
      </c>
      <c r="D599" s="1" t="s">
        <v>797</v>
      </c>
      <c r="E599" s="1" t="s">
        <v>710</v>
      </c>
      <c r="F599" t="str" cm="1">
        <f t="array" ref="F599">_xlfn.SWITCH(MID(E599,6,1),"S","Sucker","C","Crown","N","Nursery","")</f>
        <v/>
      </c>
      <c r="G599" t="str" cm="1">
        <f t="array" ref="G599">_xlfn.SWITCH(MID(E599,7,1),"S","Sedang","K","Kecil","B","Besar","")</f>
        <v/>
      </c>
    </row>
    <row r="600" spans="1:7" x14ac:dyDescent="0.3">
      <c r="A600" s="1" t="s">
        <v>599</v>
      </c>
      <c r="B600" s="1" t="s">
        <v>794</v>
      </c>
      <c r="C600" s="2">
        <v>9.7799999999999994</v>
      </c>
      <c r="D600" s="1" t="s">
        <v>755</v>
      </c>
      <c r="E600" s="1" t="s">
        <v>710</v>
      </c>
      <c r="F600" t="str" cm="1">
        <f t="array" ref="F600">_xlfn.SWITCH(MID(E600,6,1),"S","Sucker","C","Crown","N","Nursery","")</f>
        <v/>
      </c>
      <c r="G600" t="str" cm="1">
        <f t="array" ref="G600">_xlfn.SWITCH(MID(E600,7,1),"S","Sedang","K","Kecil","B","Besar","")</f>
        <v/>
      </c>
    </row>
    <row r="601" spans="1:7" x14ac:dyDescent="0.3">
      <c r="A601" s="1" t="s">
        <v>600</v>
      </c>
      <c r="B601" s="1" t="s">
        <v>794</v>
      </c>
      <c r="C601" s="2">
        <v>1.84</v>
      </c>
      <c r="D601" s="1" t="s">
        <v>717</v>
      </c>
      <c r="E601" s="1" t="s">
        <v>707</v>
      </c>
      <c r="F601" t="str" cm="1">
        <f t="array" ref="F601">_xlfn.SWITCH(MID(E601,6,1),"S","Sucker","C","Crown","N","Nursery","")</f>
        <v>Sucker</v>
      </c>
      <c r="G601" t="str" cm="1">
        <f t="array" ref="G601">_xlfn.SWITCH(MID(E601,7,1),"S","Sedang","K","Kecil","B","Besar","")</f>
        <v>Sedang</v>
      </c>
    </row>
    <row r="602" spans="1:7" x14ac:dyDescent="0.3">
      <c r="A602" s="1" t="s">
        <v>601</v>
      </c>
      <c r="B602" s="1" t="s">
        <v>794</v>
      </c>
      <c r="C602" s="2">
        <v>9.77</v>
      </c>
      <c r="D602" s="1" t="s">
        <v>756</v>
      </c>
      <c r="E602" s="1" t="s">
        <v>711</v>
      </c>
      <c r="F602" t="str" cm="1">
        <f t="array" ref="F602">_xlfn.SWITCH(MID(E602,6,1),"S","Sucker","C","Crown","N","Nursery","")</f>
        <v>Crown</v>
      </c>
      <c r="G602" t="str" cm="1">
        <f t="array" ref="G602">_xlfn.SWITCH(MID(E602,7,1),"S","Sedang","K","Kecil","B","Besar","")</f>
        <v>Kecil</v>
      </c>
    </row>
    <row r="603" spans="1:7" x14ac:dyDescent="0.3">
      <c r="A603" s="1" t="s">
        <v>602</v>
      </c>
      <c r="B603" s="1" t="s">
        <v>794</v>
      </c>
      <c r="C603" s="2">
        <v>8.14</v>
      </c>
      <c r="D603" s="1" t="s">
        <v>756</v>
      </c>
      <c r="E603" s="1" t="s">
        <v>711</v>
      </c>
      <c r="F603" t="str" cm="1">
        <f t="array" ref="F603">_xlfn.SWITCH(MID(E603,6,1),"S","Sucker","C","Crown","N","Nursery","")</f>
        <v>Crown</v>
      </c>
      <c r="G603" t="str" cm="1">
        <f t="array" ref="G603">_xlfn.SWITCH(MID(E603,7,1),"S","Sedang","K","Kecil","B","Besar","")</f>
        <v>Kecil</v>
      </c>
    </row>
    <row r="604" spans="1:7" x14ac:dyDescent="0.3">
      <c r="A604" s="1" t="s">
        <v>603</v>
      </c>
      <c r="B604" s="1" t="s">
        <v>794</v>
      </c>
      <c r="C604" s="2">
        <v>7.4</v>
      </c>
      <c r="D604" s="1" t="s">
        <v>756</v>
      </c>
      <c r="E604" s="1" t="s">
        <v>711</v>
      </c>
      <c r="F604" t="str" cm="1">
        <f t="array" ref="F604">_xlfn.SWITCH(MID(E604,6,1),"S","Sucker","C","Crown","N","Nursery","")</f>
        <v>Crown</v>
      </c>
      <c r="G604" t="str" cm="1">
        <f t="array" ref="G604">_xlfn.SWITCH(MID(E604,7,1),"S","Sedang","K","Kecil","B","Besar","")</f>
        <v>Kecil</v>
      </c>
    </row>
    <row r="605" spans="1:7" x14ac:dyDescent="0.3">
      <c r="A605" s="1" t="s">
        <v>604</v>
      </c>
      <c r="B605" s="1" t="s">
        <v>794</v>
      </c>
      <c r="C605" s="2">
        <v>9.41</v>
      </c>
      <c r="D605" s="1" t="s">
        <v>756</v>
      </c>
      <c r="E605" s="1" t="s">
        <v>711</v>
      </c>
      <c r="F605" t="str" cm="1">
        <f t="array" ref="F605">_xlfn.SWITCH(MID(E605,6,1),"S","Sucker","C","Crown","N","Nursery","")</f>
        <v>Crown</v>
      </c>
      <c r="G605" t="str" cm="1">
        <f t="array" ref="G605">_xlfn.SWITCH(MID(E605,7,1),"S","Sedang","K","Kecil","B","Besar","")</f>
        <v>Kecil</v>
      </c>
    </row>
    <row r="606" spans="1:7" x14ac:dyDescent="0.3">
      <c r="A606" s="1" t="s">
        <v>605</v>
      </c>
      <c r="B606" s="1" t="s">
        <v>794</v>
      </c>
      <c r="C606" s="2">
        <v>6.53</v>
      </c>
      <c r="D606" s="1" t="s">
        <v>726</v>
      </c>
      <c r="E606" s="1" t="s">
        <v>734</v>
      </c>
      <c r="F606" t="str" cm="1">
        <f t="array" ref="F606">_xlfn.SWITCH(MID(E606,6,1),"S","Sucker","C","Crown","N","Nursery","")</f>
        <v>Sucker</v>
      </c>
      <c r="G606" t="str" cm="1">
        <f t="array" ref="G606">_xlfn.SWITCH(MID(E606,7,1),"S","Sedang","K","Kecil","B","Besar","")</f>
        <v>Kecil</v>
      </c>
    </row>
    <row r="607" spans="1:7" x14ac:dyDescent="0.3">
      <c r="A607" s="1" t="s">
        <v>606</v>
      </c>
      <c r="B607" s="1" t="s">
        <v>794</v>
      </c>
      <c r="C607" s="2">
        <v>8.94</v>
      </c>
      <c r="D607" s="1" t="s">
        <v>751</v>
      </c>
      <c r="E607" s="1" t="s">
        <v>711</v>
      </c>
      <c r="F607" t="str" cm="1">
        <f t="array" ref="F607">_xlfn.SWITCH(MID(E607,6,1),"S","Sucker","C","Crown","N","Nursery","")</f>
        <v>Crown</v>
      </c>
      <c r="G607" t="str" cm="1">
        <f t="array" ref="G607">_xlfn.SWITCH(MID(E607,7,1),"S","Sedang","K","Kecil","B","Besar","")</f>
        <v>Kecil</v>
      </c>
    </row>
    <row r="608" spans="1:7" x14ac:dyDescent="0.3">
      <c r="A608" s="1" t="s">
        <v>607</v>
      </c>
      <c r="B608" s="1" t="s">
        <v>794</v>
      </c>
      <c r="C608" s="2">
        <v>3.38</v>
      </c>
      <c r="D608" s="1" t="s">
        <v>719</v>
      </c>
      <c r="E608" s="1" t="s">
        <v>734</v>
      </c>
      <c r="F608" t="str" cm="1">
        <f t="array" ref="F608">_xlfn.SWITCH(MID(E608,6,1),"S","Sucker","C","Crown","N","Nursery","")</f>
        <v>Sucker</v>
      </c>
      <c r="G608" t="str" cm="1">
        <f t="array" ref="G608">_xlfn.SWITCH(MID(E608,7,1),"S","Sedang","K","Kecil","B","Besar","")</f>
        <v>Kecil</v>
      </c>
    </row>
    <row r="609" spans="1:7" x14ac:dyDescent="0.3">
      <c r="A609" s="1" t="s">
        <v>608</v>
      </c>
      <c r="B609" s="1" t="s">
        <v>778</v>
      </c>
      <c r="C609" s="2">
        <v>18.54</v>
      </c>
      <c r="D609" s="1" t="s">
        <v>798</v>
      </c>
      <c r="E609" s="1" t="s">
        <v>710</v>
      </c>
      <c r="F609" t="str" cm="1">
        <f t="array" ref="F609">_xlfn.SWITCH(MID(E609,6,1),"S","Sucker","C","Crown","N","Nursery","")</f>
        <v/>
      </c>
      <c r="G609" t="str" cm="1">
        <f t="array" ref="G609">_xlfn.SWITCH(MID(E609,7,1),"S","Sedang","K","Kecil","B","Besar","")</f>
        <v/>
      </c>
    </row>
    <row r="610" spans="1:7" x14ac:dyDescent="0.3">
      <c r="A610" s="1" t="s">
        <v>609</v>
      </c>
      <c r="B610" s="1" t="s">
        <v>778</v>
      </c>
      <c r="C610" s="2">
        <v>1.1599999999999999</v>
      </c>
      <c r="D610" s="1" t="s">
        <v>798</v>
      </c>
      <c r="E610" s="1" t="s">
        <v>710</v>
      </c>
      <c r="F610" t="str" cm="1">
        <f t="array" ref="F610">_xlfn.SWITCH(MID(E610,6,1),"S","Sucker","C","Crown","N","Nursery","")</f>
        <v/>
      </c>
      <c r="G610" t="str" cm="1">
        <f t="array" ref="G610">_xlfn.SWITCH(MID(E610,7,1),"S","Sedang","K","Kecil","B","Besar","")</f>
        <v/>
      </c>
    </row>
    <row r="611" spans="1:7" x14ac:dyDescent="0.3">
      <c r="A611" s="1" t="s">
        <v>610</v>
      </c>
      <c r="B611" s="1" t="s">
        <v>778</v>
      </c>
      <c r="C611" s="2">
        <v>8.3800000000000008</v>
      </c>
      <c r="D611" s="1" t="s">
        <v>799</v>
      </c>
      <c r="E611" s="1" t="s">
        <v>710</v>
      </c>
      <c r="F611" t="str" cm="1">
        <f t="array" ref="F611">_xlfn.SWITCH(MID(E611,6,1),"S","Sucker","C","Crown","N","Nursery","")</f>
        <v/>
      </c>
      <c r="G611" t="str" cm="1">
        <f t="array" ref="G611">_xlfn.SWITCH(MID(E611,7,1),"S","Sedang","K","Kecil","B","Besar","")</f>
        <v/>
      </c>
    </row>
    <row r="612" spans="1:7" x14ac:dyDescent="0.3">
      <c r="A612" s="1" t="s">
        <v>611</v>
      </c>
      <c r="B612" s="1" t="s">
        <v>800</v>
      </c>
      <c r="C612" s="2">
        <v>5.94</v>
      </c>
      <c r="D612" s="1" t="s">
        <v>722</v>
      </c>
      <c r="E612" s="1" t="s">
        <v>710</v>
      </c>
      <c r="F612" t="str" cm="1">
        <f t="array" ref="F612">_xlfn.SWITCH(MID(E612,6,1),"S","Sucker","C","Crown","N","Nursery","")</f>
        <v/>
      </c>
      <c r="G612" t="str" cm="1">
        <f t="array" ref="G612">_xlfn.SWITCH(MID(E612,7,1),"S","Sedang","K","Kecil","B","Besar","")</f>
        <v/>
      </c>
    </row>
    <row r="613" spans="1:7" x14ac:dyDescent="0.3">
      <c r="A613" s="1" t="s">
        <v>612</v>
      </c>
      <c r="B613" s="1" t="s">
        <v>800</v>
      </c>
      <c r="C613" s="2">
        <v>5.94</v>
      </c>
      <c r="D613" s="1" t="s">
        <v>801</v>
      </c>
      <c r="E613" s="1" t="s">
        <v>710</v>
      </c>
      <c r="F613" t="str" cm="1">
        <f t="array" ref="F613">_xlfn.SWITCH(MID(E613,6,1),"S","Sucker","C","Crown","N","Nursery","")</f>
        <v/>
      </c>
      <c r="G613" t="str" cm="1">
        <f t="array" ref="G613">_xlfn.SWITCH(MID(E613,7,1),"S","Sedang","K","Kecil","B","Besar","")</f>
        <v/>
      </c>
    </row>
    <row r="614" spans="1:7" x14ac:dyDescent="0.3">
      <c r="A614" s="1" t="s">
        <v>613</v>
      </c>
      <c r="B614" s="1" t="s">
        <v>800</v>
      </c>
      <c r="C614" s="2">
        <v>5.94</v>
      </c>
      <c r="D614" s="1" t="s">
        <v>714</v>
      </c>
      <c r="E614" s="1" t="s">
        <v>710</v>
      </c>
      <c r="F614" t="str" cm="1">
        <f t="array" ref="F614">_xlfn.SWITCH(MID(E614,6,1),"S","Sucker","C","Crown","N","Nursery","")</f>
        <v/>
      </c>
      <c r="G614" t="str" cm="1">
        <f t="array" ref="G614">_xlfn.SWITCH(MID(E614,7,1),"S","Sedang","K","Kecil","B","Besar","")</f>
        <v/>
      </c>
    </row>
    <row r="615" spans="1:7" x14ac:dyDescent="0.3">
      <c r="A615" s="1" t="s">
        <v>614</v>
      </c>
      <c r="B615" s="1" t="s">
        <v>792</v>
      </c>
      <c r="C615" s="2">
        <v>9.64</v>
      </c>
      <c r="D615" s="1" t="s">
        <v>713</v>
      </c>
      <c r="E615" s="1" t="s">
        <v>710</v>
      </c>
      <c r="F615" t="str" cm="1">
        <f t="array" ref="F615">_xlfn.SWITCH(MID(E615,6,1),"S","Sucker","C","Crown","N","Nursery","")</f>
        <v/>
      </c>
      <c r="G615" t="str" cm="1">
        <f t="array" ref="G615">_xlfn.SWITCH(MID(E615,7,1),"S","Sedang","K","Kecil","B","Besar","")</f>
        <v/>
      </c>
    </row>
    <row r="616" spans="1:7" x14ac:dyDescent="0.3">
      <c r="A616" s="1" t="s">
        <v>615</v>
      </c>
      <c r="B616" s="1" t="s">
        <v>792</v>
      </c>
      <c r="C616" s="2">
        <v>6.84</v>
      </c>
      <c r="D616" s="1" t="s">
        <v>740</v>
      </c>
      <c r="E616" s="1" t="s">
        <v>710</v>
      </c>
      <c r="F616" t="str" cm="1">
        <f t="array" ref="F616">_xlfn.SWITCH(MID(E616,6,1),"S","Sucker","C","Crown","N","Nursery","")</f>
        <v/>
      </c>
      <c r="G616" t="str" cm="1">
        <f t="array" ref="G616">_xlfn.SWITCH(MID(E616,7,1),"S","Sedang","K","Kecil","B","Besar","")</f>
        <v/>
      </c>
    </row>
    <row r="617" spans="1:7" x14ac:dyDescent="0.3">
      <c r="A617" s="1" t="s">
        <v>616</v>
      </c>
      <c r="B617" s="1" t="s">
        <v>792</v>
      </c>
      <c r="C617" s="2">
        <v>10.23</v>
      </c>
      <c r="D617" s="1" t="s">
        <v>733</v>
      </c>
      <c r="E617" s="1" t="s">
        <v>710</v>
      </c>
      <c r="F617" t="str" cm="1">
        <f t="array" ref="F617">_xlfn.SWITCH(MID(E617,6,1),"S","Sucker","C","Crown","N","Nursery","")</f>
        <v/>
      </c>
      <c r="G617" t="str" cm="1">
        <f t="array" ref="G617">_xlfn.SWITCH(MID(E617,7,1),"S","Sedang","K","Kecil","B","Besar","")</f>
        <v/>
      </c>
    </row>
    <row r="618" spans="1:7" x14ac:dyDescent="0.3">
      <c r="A618" s="1" t="s">
        <v>617</v>
      </c>
      <c r="B618" s="1" t="s">
        <v>792</v>
      </c>
      <c r="C618" s="2">
        <v>8.39</v>
      </c>
      <c r="D618" s="1" t="s">
        <v>713</v>
      </c>
      <c r="E618" s="1" t="s">
        <v>710</v>
      </c>
      <c r="F618" t="str" cm="1">
        <f t="array" ref="F618">_xlfn.SWITCH(MID(E618,6,1),"S","Sucker","C","Crown","N","Nursery","")</f>
        <v/>
      </c>
      <c r="G618" t="str" cm="1">
        <f t="array" ref="G618">_xlfn.SWITCH(MID(E618,7,1),"S","Sedang","K","Kecil","B","Besar","")</f>
        <v/>
      </c>
    </row>
    <row r="619" spans="1:7" x14ac:dyDescent="0.3">
      <c r="A619" s="1" t="s">
        <v>618</v>
      </c>
      <c r="B619" s="1" t="s">
        <v>792</v>
      </c>
      <c r="C619" s="2">
        <v>12.77</v>
      </c>
      <c r="D619" s="1" t="s">
        <v>721</v>
      </c>
      <c r="E619" s="1" t="s">
        <v>710</v>
      </c>
      <c r="F619" t="str" cm="1">
        <f t="array" ref="F619">_xlfn.SWITCH(MID(E619,6,1),"S","Sucker","C","Crown","N","Nursery","")</f>
        <v/>
      </c>
      <c r="G619" t="str" cm="1">
        <f t="array" ref="G619">_xlfn.SWITCH(MID(E619,7,1),"S","Sedang","K","Kecil","B","Besar","")</f>
        <v/>
      </c>
    </row>
    <row r="620" spans="1:7" x14ac:dyDescent="0.3">
      <c r="A620" s="1" t="s">
        <v>619</v>
      </c>
      <c r="B620" s="1" t="s">
        <v>792</v>
      </c>
      <c r="C620" s="2">
        <v>6.74</v>
      </c>
      <c r="D620" s="1" t="s">
        <v>708</v>
      </c>
      <c r="E620" s="1" t="s">
        <v>711</v>
      </c>
      <c r="F620" t="str" cm="1">
        <f t="array" ref="F620">_xlfn.SWITCH(MID(E620,6,1),"S","Sucker","C","Crown","N","Nursery","")</f>
        <v>Crown</v>
      </c>
      <c r="G620" t="str" cm="1">
        <f t="array" ref="G620">_xlfn.SWITCH(MID(E620,7,1),"S","Sedang","K","Kecil","B","Besar","")</f>
        <v>Kecil</v>
      </c>
    </row>
    <row r="621" spans="1:7" x14ac:dyDescent="0.3">
      <c r="A621" s="1" t="s">
        <v>620</v>
      </c>
      <c r="B621" s="1" t="s">
        <v>792</v>
      </c>
      <c r="C621" s="2">
        <v>6.29</v>
      </c>
      <c r="D621" s="1" t="s">
        <v>708</v>
      </c>
      <c r="E621" s="1" t="s">
        <v>711</v>
      </c>
      <c r="F621" t="str" cm="1">
        <f t="array" ref="F621">_xlfn.SWITCH(MID(E621,6,1),"S","Sucker","C","Crown","N","Nursery","")</f>
        <v>Crown</v>
      </c>
      <c r="G621" t="str" cm="1">
        <f t="array" ref="G621">_xlfn.SWITCH(MID(E621,7,1),"S","Sedang","K","Kecil","B","Besar","")</f>
        <v>Kecil</v>
      </c>
    </row>
    <row r="622" spans="1:7" x14ac:dyDescent="0.3">
      <c r="A622" s="1" t="s">
        <v>621</v>
      </c>
      <c r="B622" s="1" t="s">
        <v>792</v>
      </c>
      <c r="C622" s="2">
        <v>3.25</v>
      </c>
      <c r="D622" s="1" t="s">
        <v>720</v>
      </c>
      <c r="E622" s="1" t="s">
        <v>711</v>
      </c>
      <c r="F622" t="str" cm="1">
        <f t="array" ref="F622">_xlfn.SWITCH(MID(E622,6,1),"S","Sucker","C","Crown","N","Nursery","")</f>
        <v>Crown</v>
      </c>
      <c r="G622" t="str" cm="1">
        <f t="array" ref="G622">_xlfn.SWITCH(MID(E622,7,1),"S","Sedang","K","Kecil","B","Besar","")</f>
        <v>Kecil</v>
      </c>
    </row>
    <row r="623" spans="1:7" x14ac:dyDescent="0.3">
      <c r="A623" s="1" t="s">
        <v>622</v>
      </c>
      <c r="B623" s="1" t="s">
        <v>792</v>
      </c>
      <c r="C623" s="2">
        <v>10.02</v>
      </c>
      <c r="D623" s="1" t="s">
        <v>724</v>
      </c>
      <c r="E623" s="1" t="s">
        <v>711</v>
      </c>
      <c r="F623" t="str" cm="1">
        <f t="array" ref="F623">_xlfn.SWITCH(MID(E623,6,1),"S","Sucker","C","Crown","N","Nursery","")</f>
        <v>Crown</v>
      </c>
      <c r="G623" t="str" cm="1">
        <f t="array" ref="G623">_xlfn.SWITCH(MID(E623,7,1),"S","Sedang","K","Kecil","B","Besar","")</f>
        <v>Kecil</v>
      </c>
    </row>
    <row r="624" spans="1:7" x14ac:dyDescent="0.3">
      <c r="A624" s="1" t="s">
        <v>623</v>
      </c>
      <c r="B624" s="1" t="s">
        <v>792</v>
      </c>
      <c r="C624" s="2">
        <v>14.06</v>
      </c>
      <c r="D624" s="1" t="s">
        <v>720</v>
      </c>
      <c r="E624" s="1" t="s">
        <v>711</v>
      </c>
      <c r="F624" t="str" cm="1">
        <f t="array" ref="F624">_xlfn.SWITCH(MID(E624,6,1),"S","Sucker","C","Crown","N","Nursery","")</f>
        <v>Crown</v>
      </c>
      <c r="G624" t="str" cm="1">
        <f t="array" ref="G624">_xlfn.SWITCH(MID(E624,7,1),"S","Sedang","K","Kecil","B","Besar","")</f>
        <v>Kecil</v>
      </c>
    </row>
    <row r="625" spans="1:7" x14ac:dyDescent="0.3">
      <c r="A625" s="1" t="s">
        <v>624</v>
      </c>
      <c r="B625" s="1" t="s">
        <v>792</v>
      </c>
      <c r="C625" s="2">
        <v>5.34</v>
      </c>
      <c r="D625" s="1" t="s">
        <v>723</v>
      </c>
      <c r="E625" s="1" t="s">
        <v>710</v>
      </c>
      <c r="F625" t="str" cm="1">
        <f t="array" ref="F625">_xlfn.SWITCH(MID(E625,6,1),"S","Sucker","C","Crown","N","Nursery","")</f>
        <v/>
      </c>
      <c r="G625" t="str" cm="1">
        <f t="array" ref="G625">_xlfn.SWITCH(MID(E625,7,1),"S","Sedang","K","Kecil","B","Besar","")</f>
        <v/>
      </c>
    </row>
    <row r="626" spans="1:7" x14ac:dyDescent="0.3">
      <c r="A626" s="1" t="s">
        <v>625</v>
      </c>
      <c r="B626" s="1" t="s">
        <v>792</v>
      </c>
      <c r="C626" s="2">
        <v>7.88</v>
      </c>
      <c r="D626" s="1" t="s">
        <v>716</v>
      </c>
      <c r="E626" s="1" t="s">
        <v>710</v>
      </c>
      <c r="F626" t="str" cm="1">
        <f t="array" ref="F626">_xlfn.SWITCH(MID(E626,6,1),"S","Sucker","C","Crown","N","Nursery","")</f>
        <v/>
      </c>
      <c r="G626" t="str" cm="1">
        <f t="array" ref="G626">_xlfn.SWITCH(MID(E626,7,1),"S","Sedang","K","Kecil","B","Besar","")</f>
        <v/>
      </c>
    </row>
    <row r="627" spans="1:7" x14ac:dyDescent="0.3">
      <c r="A627" s="1" t="s">
        <v>626</v>
      </c>
      <c r="B627" s="1" t="s">
        <v>792</v>
      </c>
      <c r="C627" s="2">
        <v>6.74</v>
      </c>
      <c r="D627" s="1" t="s">
        <v>713</v>
      </c>
      <c r="E627" s="1" t="s">
        <v>710</v>
      </c>
      <c r="F627" t="str" cm="1">
        <f t="array" ref="F627">_xlfn.SWITCH(MID(E627,6,1),"S","Sucker","C","Crown","N","Nursery","")</f>
        <v/>
      </c>
      <c r="G627" t="str" cm="1">
        <f t="array" ref="G627">_xlfn.SWITCH(MID(E627,7,1),"S","Sedang","K","Kecil","B","Besar","")</f>
        <v/>
      </c>
    </row>
    <row r="628" spans="1:7" x14ac:dyDescent="0.3">
      <c r="A628" s="1" t="s">
        <v>627</v>
      </c>
      <c r="B628" s="1" t="s">
        <v>792</v>
      </c>
      <c r="C628" s="2">
        <v>8.4700000000000006</v>
      </c>
      <c r="D628" s="1" t="s">
        <v>738</v>
      </c>
      <c r="E628" s="1" t="s">
        <v>707</v>
      </c>
      <c r="F628" t="str" cm="1">
        <f t="array" ref="F628">_xlfn.SWITCH(MID(E628,6,1),"S","Sucker","C","Crown","N","Nursery","")</f>
        <v>Sucker</v>
      </c>
      <c r="G628" t="str" cm="1">
        <f t="array" ref="G628">_xlfn.SWITCH(MID(E628,7,1),"S","Sedang","K","Kecil","B","Besar","")</f>
        <v>Sedang</v>
      </c>
    </row>
    <row r="629" spans="1:7" x14ac:dyDescent="0.3">
      <c r="A629" s="1" t="s">
        <v>628</v>
      </c>
      <c r="B629" s="1" t="s">
        <v>792</v>
      </c>
      <c r="C629" s="2">
        <v>10.78</v>
      </c>
      <c r="D629" s="1" t="s">
        <v>726</v>
      </c>
      <c r="E629" s="1" t="s">
        <v>711</v>
      </c>
      <c r="F629" t="str" cm="1">
        <f t="array" ref="F629">_xlfn.SWITCH(MID(E629,6,1),"S","Sucker","C","Crown","N","Nursery","")</f>
        <v>Crown</v>
      </c>
      <c r="G629" t="str" cm="1">
        <f t="array" ref="G629">_xlfn.SWITCH(MID(E629,7,1),"S","Sedang","K","Kecil","B","Besar","")</f>
        <v>Kecil</v>
      </c>
    </row>
    <row r="630" spans="1:7" x14ac:dyDescent="0.3">
      <c r="A630" s="1" t="s">
        <v>629</v>
      </c>
      <c r="B630" s="1" t="s">
        <v>792</v>
      </c>
      <c r="C630" s="2">
        <v>12.14</v>
      </c>
      <c r="D630" s="1" t="s">
        <v>728</v>
      </c>
      <c r="E630" s="1" t="s">
        <v>710</v>
      </c>
      <c r="F630" t="str" cm="1">
        <f t="array" ref="F630">_xlfn.SWITCH(MID(E630,6,1),"S","Sucker","C","Crown","N","Nursery","")</f>
        <v/>
      </c>
      <c r="G630" t="str" cm="1">
        <f t="array" ref="G630">_xlfn.SWITCH(MID(E630,7,1),"S","Sedang","K","Kecil","B","Besar","")</f>
        <v/>
      </c>
    </row>
    <row r="631" spans="1:7" x14ac:dyDescent="0.3">
      <c r="A631" s="1" t="s">
        <v>630</v>
      </c>
      <c r="B631" s="1" t="s">
        <v>792</v>
      </c>
      <c r="C631" s="2">
        <v>6.13</v>
      </c>
      <c r="D631" s="1" t="s">
        <v>741</v>
      </c>
      <c r="E631" s="1" t="s">
        <v>710</v>
      </c>
      <c r="F631" t="str" cm="1">
        <f t="array" ref="F631">_xlfn.SWITCH(MID(E631,6,1),"S","Sucker","C","Crown","N","Nursery","")</f>
        <v/>
      </c>
      <c r="G631" t="str" cm="1">
        <f t="array" ref="G631">_xlfn.SWITCH(MID(E631,7,1),"S","Sedang","K","Kecil","B","Besar","")</f>
        <v/>
      </c>
    </row>
    <row r="632" spans="1:7" x14ac:dyDescent="0.3">
      <c r="A632" s="1" t="s">
        <v>631</v>
      </c>
      <c r="B632" s="1" t="s">
        <v>792</v>
      </c>
      <c r="C632" s="2">
        <v>14.64</v>
      </c>
      <c r="D632" s="1" t="s">
        <v>731</v>
      </c>
      <c r="E632" s="1" t="s">
        <v>707</v>
      </c>
      <c r="F632" t="str" cm="1">
        <f t="array" ref="F632">_xlfn.SWITCH(MID(E632,6,1),"S","Sucker","C","Crown","N","Nursery","")</f>
        <v>Sucker</v>
      </c>
      <c r="G632" t="str" cm="1">
        <f t="array" ref="G632">_xlfn.SWITCH(MID(E632,7,1),"S","Sedang","K","Kecil","B","Besar","")</f>
        <v>Sedang</v>
      </c>
    </row>
    <row r="633" spans="1:7" x14ac:dyDescent="0.3">
      <c r="A633" s="1" t="s">
        <v>632</v>
      </c>
      <c r="B633" s="1" t="s">
        <v>792</v>
      </c>
      <c r="C633" s="2">
        <v>9.23</v>
      </c>
      <c r="D633" s="1" t="s">
        <v>749</v>
      </c>
      <c r="E633" s="1" t="s">
        <v>710</v>
      </c>
      <c r="F633" t="str" cm="1">
        <f t="array" ref="F633">_xlfn.SWITCH(MID(E633,6,1),"S","Sucker","C","Crown","N","Nursery","")</f>
        <v/>
      </c>
      <c r="G633" t="str" cm="1">
        <f t="array" ref="G633">_xlfn.SWITCH(MID(E633,7,1),"S","Sedang","K","Kecil","B","Besar","")</f>
        <v/>
      </c>
    </row>
    <row r="634" spans="1:7" x14ac:dyDescent="0.3">
      <c r="A634" s="1" t="s">
        <v>633</v>
      </c>
      <c r="B634" s="1" t="s">
        <v>792</v>
      </c>
      <c r="C634" s="2">
        <v>11.66</v>
      </c>
      <c r="D634" s="1" t="s">
        <v>723</v>
      </c>
      <c r="E634" s="1" t="s">
        <v>710</v>
      </c>
      <c r="F634" t="str" cm="1">
        <f t="array" ref="F634">_xlfn.SWITCH(MID(E634,6,1),"S","Sucker","C","Crown","N","Nursery","")</f>
        <v/>
      </c>
      <c r="G634" t="str" cm="1">
        <f t="array" ref="G634">_xlfn.SWITCH(MID(E634,7,1),"S","Sedang","K","Kecil","B","Besar","")</f>
        <v/>
      </c>
    </row>
    <row r="635" spans="1:7" x14ac:dyDescent="0.3">
      <c r="A635" s="1" t="s">
        <v>634</v>
      </c>
      <c r="B635" s="1" t="s">
        <v>792</v>
      </c>
      <c r="C635" s="2">
        <v>8.1300000000000008</v>
      </c>
      <c r="D635" s="1" t="s">
        <v>721</v>
      </c>
      <c r="E635" s="1" t="s">
        <v>710</v>
      </c>
      <c r="F635" t="str" cm="1">
        <f t="array" ref="F635">_xlfn.SWITCH(MID(E635,6,1),"S","Sucker","C","Crown","N","Nursery","")</f>
        <v/>
      </c>
      <c r="G635" t="str" cm="1">
        <f t="array" ref="G635">_xlfn.SWITCH(MID(E635,7,1),"S","Sedang","K","Kecil","B","Besar","")</f>
        <v/>
      </c>
    </row>
    <row r="636" spans="1:7" x14ac:dyDescent="0.3">
      <c r="A636" s="1" t="s">
        <v>635</v>
      </c>
      <c r="B636" s="1" t="s">
        <v>792</v>
      </c>
      <c r="C636" s="2">
        <v>7.43</v>
      </c>
      <c r="D636" s="1" t="s">
        <v>706</v>
      </c>
      <c r="E636" s="1" t="s">
        <v>711</v>
      </c>
      <c r="F636" t="str" cm="1">
        <f t="array" ref="F636">_xlfn.SWITCH(MID(E636,6,1),"S","Sucker","C","Crown","N","Nursery","")</f>
        <v>Crown</v>
      </c>
      <c r="G636" t="str" cm="1">
        <f t="array" ref="G636">_xlfn.SWITCH(MID(E636,7,1),"S","Sedang","K","Kecil","B","Besar","")</f>
        <v>Kecil</v>
      </c>
    </row>
    <row r="637" spans="1:7" x14ac:dyDescent="0.3">
      <c r="A637" s="1" t="s">
        <v>636</v>
      </c>
      <c r="B637" s="1" t="s">
        <v>792</v>
      </c>
      <c r="C637" s="2">
        <v>6.07</v>
      </c>
      <c r="D637" s="1" t="s">
        <v>706</v>
      </c>
      <c r="E637" s="1" t="s">
        <v>711</v>
      </c>
      <c r="F637" t="str" cm="1">
        <f t="array" ref="F637">_xlfn.SWITCH(MID(E637,6,1),"S","Sucker","C","Crown","N","Nursery","")</f>
        <v>Crown</v>
      </c>
      <c r="G637" t="str" cm="1">
        <f t="array" ref="G637">_xlfn.SWITCH(MID(E637,7,1),"S","Sedang","K","Kecil","B","Besar","")</f>
        <v>Kecil</v>
      </c>
    </row>
    <row r="638" spans="1:7" x14ac:dyDescent="0.3">
      <c r="A638" s="1" t="s">
        <v>637</v>
      </c>
      <c r="B638" s="1" t="s">
        <v>792</v>
      </c>
      <c r="C638" s="2">
        <v>2.57</v>
      </c>
      <c r="D638" s="1" t="s">
        <v>756</v>
      </c>
      <c r="E638" s="1" t="s">
        <v>734</v>
      </c>
      <c r="F638" t="str" cm="1">
        <f t="array" ref="F638">_xlfn.SWITCH(MID(E638,6,1),"S","Sucker","C","Crown","N","Nursery","")</f>
        <v>Sucker</v>
      </c>
      <c r="G638" t="str" cm="1">
        <f t="array" ref="G638">_xlfn.SWITCH(MID(E638,7,1),"S","Sedang","K","Kecil","B","Besar","")</f>
        <v>Kecil</v>
      </c>
    </row>
    <row r="639" spans="1:7" x14ac:dyDescent="0.3">
      <c r="A639" s="1" t="s">
        <v>638</v>
      </c>
      <c r="B639" s="1" t="s">
        <v>792</v>
      </c>
      <c r="C639" s="2">
        <v>5.7</v>
      </c>
      <c r="D639" s="1" t="s">
        <v>723</v>
      </c>
      <c r="E639" s="1" t="s">
        <v>710</v>
      </c>
      <c r="F639" t="str" cm="1">
        <f t="array" ref="F639">_xlfn.SWITCH(MID(E639,6,1),"S","Sucker","C","Crown","N","Nursery","")</f>
        <v/>
      </c>
      <c r="G639" t="str" cm="1">
        <f t="array" ref="G639">_xlfn.SWITCH(MID(E639,7,1),"S","Sedang","K","Kecil","B","Besar","")</f>
        <v/>
      </c>
    </row>
    <row r="640" spans="1:7" x14ac:dyDescent="0.3">
      <c r="A640" s="1" t="s">
        <v>639</v>
      </c>
      <c r="B640" s="1" t="s">
        <v>792</v>
      </c>
      <c r="C640" s="2">
        <v>7.7</v>
      </c>
      <c r="D640" s="1" t="s">
        <v>723</v>
      </c>
      <c r="E640" s="1" t="s">
        <v>710</v>
      </c>
      <c r="F640" t="str" cm="1">
        <f t="array" ref="F640">_xlfn.SWITCH(MID(E640,6,1),"S","Sucker","C","Crown","N","Nursery","")</f>
        <v/>
      </c>
      <c r="G640" t="str" cm="1">
        <f t="array" ref="G640">_xlfn.SWITCH(MID(E640,7,1),"S","Sedang","K","Kecil","B","Besar","")</f>
        <v/>
      </c>
    </row>
    <row r="641" spans="1:7" x14ac:dyDescent="0.3">
      <c r="A641" s="1" t="s">
        <v>640</v>
      </c>
      <c r="B641" s="1" t="s">
        <v>792</v>
      </c>
      <c r="C641" s="2">
        <v>7.58</v>
      </c>
      <c r="D641" s="1" t="s">
        <v>732</v>
      </c>
      <c r="E641" s="1" t="s">
        <v>710</v>
      </c>
      <c r="F641" t="str" cm="1">
        <f t="array" ref="F641">_xlfn.SWITCH(MID(E641,6,1),"S","Sucker","C","Crown","N","Nursery","")</f>
        <v/>
      </c>
      <c r="G641" t="str" cm="1">
        <f t="array" ref="G641">_xlfn.SWITCH(MID(E641,7,1),"S","Sedang","K","Kecil","B","Besar","")</f>
        <v/>
      </c>
    </row>
    <row r="642" spans="1:7" x14ac:dyDescent="0.3">
      <c r="A642" s="1" t="s">
        <v>641</v>
      </c>
      <c r="B642" s="1" t="s">
        <v>792</v>
      </c>
      <c r="C642" s="2">
        <v>9.3000000000000007</v>
      </c>
      <c r="D642" s="1" t="s">
        <v>715</v>
      </c>
      <c r="E642" s="1" t="s">
        <v>710</v>
      </c>
      <c r="F642" t="str" cm="1">
        <f t="array" ref="F642">_xlfn.SWITCH(MID(E642,6,1),"S","Sucker","C","Crown","N","Nursery","")</f>
        <v/>
      </c>
      <c r="G642" t="str" cm="1">
        <f t="array" ref="G642">_xlfn.SWITCH(MID(E642,7,1),"S","Sedang","K","Kecil","B","Besar","")</f>
        <v/>
      </c>
    </row>
    <row r="643" spans="1:7" x14ac:dyDescent="0.3">
      <c r="A643" s="1" t="s">
        <v>642</v>
      </c>
      <c r="B643" s="1" t="s">
        <v>792</v>
      </c>
      <c r="C643" s="2">
        <v>10.85</v>
      </c>
      <c r="D643" s="1" t="s">
        <v>795</v>
      </c>
      <c r="E643" s="1" t="s">
        <v>710</v>
      </c>
      <c r="F643" t="str" cm="1">
        <f t="array" ref="F643">_xlfn.SWITCH(MID(E643,6,1),"S","Sucker","C","Crown","N","Nursery","")</f>
        <v/>
      </c>
      <c r="G643" t="str" cm="1">
        <f t="array" ref="G643">_xlfn.SWITCH(MID(E643,7,1),"S","Sedang","K","Kecil","B","Besar","")</f>
        <v/>
      </c>
    </row>
    <row r="644" spans="1:7" x14ac:dyDescent="0.3">
      <c r="A644" s="1" t="s">
        <v>643</v>
      </c>
      <c r="B644" s="1" t="s">
        <v>792</v>
      </c>
      <c r="C644" s="2">
        <v>10.95</v>
      </c>
      <c r="D644" s="1" t="s">
        <v>730</v>
      </c>
      <c r="E644" s="1" t="s">
        <v>710</v>
      </c>
      <c r="F644" t="str" cm="1">
        <f t="array" ref="F644">_xlfn.SWITCH(MID(E644,6,1),"S","Sucker","C","Crown","N","Nursery","")</f>
        <v/>
      </c>
      <c r="G644" t="str" cm="1">
        <f t="array" ref="G644">_xlfn.SWITCH(MID(E644,7,1),"S","Sedang","K","Kecil","B","Besar","")</f>
        <v/>
      </c>
    </row>
    <row r="645" spans="1:7" x14ac:dyDescent="0.3">
      <c r="A645" s="1" t="s">
        <v>644</v>
      </c>
      <c r="B645" s="1" t="s">
        <v>792</v>
      </c>
      <c r="C645" s="2">
        <v>10.83</v>
      </c>
      <c r="D645" s="1" t="s">
        <v>748</v>
      </c>
      <c r="E645" s="1" t="s">
        <v>710</v>
      </c>
      <c r="F645" t="str" cm="1">
        <f t="array" ref="F645">_xlfn.SWITCH(MID(E645,6,1),"S","Sucker","C","Crown","N","Nursery","")</f>
        <v/>
      </c>
      <c r="G645" t="str" cm="1">
        <f t="array" ref="G645">_xlfn.SWITCH(MID(E645,7,1),"S","Sedang","K","Kecil","B","Besar","")</f>
        <v/>
      </c>
    </row>
    <row r="646" spans="1:7" x14ac:dyDescent="0.3">
      <c r="A646" s="1" t="s">
        <v>645</v>
      </c>
      <c r="B646" s="1" t="s">
        <v>792</v>
      </c>
      <c r="C646" s="2">
        <v>3.48</v>
      </c>
      <c r="D646" s="1" t="s">
        <v>719</v>
      </c>
      <c r="E646" s="1" t="s">
        <v>707</v>
      </c>
      <c r="F646" t="str" cm="1">
        <f t="array" ref="F646">_xlfn.SWITCH(MID(E646,6,1),"S","Sucker","C","Crown","N","Nursery","")</f>
        <v>Sucker</v>
      </c>
      <c r="G646" t="str" cm="1">
        <f t="array" ref="G646">_xlfn.SWITCH(MID(E646,7,1),"S","Sedang","K","Kecil","B","Besar","")</f>
        <v>Sedang</v>
      </c>
    </row>
    <row r="647" spans="1:7" x14ac:dyDescent="0.3">
      <c r="A647" s="1" t="s">
        <v>646</v>
      </c>
      <c r="B647" s="1" t="s">
        <v>792</v>
      </c>
      <c r="C647" s="2">
        <v>7.45</v>
      </c>
      <c r="D647" s="1" t="s">
        <v>726</v>
      </c>
      <c r="E647" s="1" t="s">
        <v>734</v>
      </c>
      <c r="F647" t="str" cm="1">
        <f t="array" ref="F647">_xlfn.SWITCH(MID(E647,6,1),"S","Sucker","C","Crown","N","Nursery","")</f>
        <v>Sucker</v>
      </c>
      <c r="G647" t="str" cm="1">
        <f t="array" ref="G647">_xlfn.SWITCH(MID(E647,7,1),"S","Sedang","K","Kecil","B","Besar","")</f>
        <v>Kecil</v>
      </c>
    </row>
    <row r="648" spans="1:7" x14ac:dyDescent="0.3">
      <c r="A648" s="1" t="s">
        <v>647</v>
      </c>
      <c r="B648" s="1" t="s">
        <v>792</v>
      </c>
      <c r="C648" s="2">
        <v>8.66</v>
      </c>
      <c r="D648" s="1" t="s">
        <v>737</v>
      </c>
      <c r="E648" s="1" t="s">
        <v>711</v>
      </c>
      <c r="F648" t="str" cm="1">
        <f t="array" ref="F648">_xlfn.SWITCH(MID(E648,6,1),"S","Sucker","C","Crown","N","Nursery","")</f>
        <v>Crown</v>
      </c>
      <c r="G648" t="str" cm="1">
        <f t="array" ref="G648">_xlfn.SWITCH(MID(E648,7,1),"S","Sedang","K","Kecil","B","Besar","")</f>
        <v>Kecil</v>
      </c>
    </row>
    <row r="649" spans="1:7" x14ac:dyDescent="0.3">
      <c r="A649" s="1" t="s">
        <v>648</v>
      </c>
      <c r="B649" s="1" t="s">
        <v>792</v>
      </c>
      <c r="C649" s="2">
        <v>5.71</v>
      </c>
      <c r="D649" s="1" t="s">
        <v>731</v>
      </c>
      <c r="E649" s="1" t="s">
        <v>727</v>
      </c>
      <c r="F649" t="str" cm="1">
        <f t="array" ref="F649">_xlfn.SWITCH(MID(E649,6,1),"S","Sucker","C","Crown","N","Nursery","")</f>
        <v>Sucker</v>
      </c>
      <c r="G649" t="str" cm="1">
        <f t="array" ref="G649">_xlfn.SWITCH(MID(E649,7,1),"S","Sedang","K","Kecil","B","Besar","")</f>
        <v>Besar</v>
      </c>
    </row>
    <row r="650" spans="1:7" x14ac:dyDescent="0.3">
      <c r="A650" s="1" t="s">
        <v>649</v>
      </c>
      <c r="B650" s="1" t="s">
        <v>792</v>
      </c>
      <c r="C650" s="2">
        <v>8.4600000000000009</v>
      </c>
      <c r="D650" s="1" t="s">
        <v>726</v>
      </c>
      <c r="E650" s="1" t="s">
        <v>711</v>
      </c>
      <c r="F650" t="str" cm="1">
        <f t="array" ref="F650">_xlfn.SWITCH(MID(E650,6,1),"S","Sucker","C","Crown","N","Nursery","")</f>
        <v>Crown</v>
      </c>
      <c r="G650" t="str" cm="1">
        <f t="array" ref="G650">_xlfn.SWITCH(MID(E650,7,1),"S","Sedang","K","Kecil","B","Besar","")</f>
        <v>Kecil</v>
      </c>
    </row>
    <row r="651" spans="1:7" x14ac:dyDescent="0.3">
      <c r="A651" s="1" t="s">
        <v>650</v>
      </c>
      <c r="B651" s="1" t="s">
        <v>792</v>
      </c>
      <c r="C651" s="2">
        <v>9.93</v>
      </c>
      <c r="D651" s="1" t="s">
        <v>743</v>
      </c>
      <c r="E651" s="1" t="s">
        <v>711</v>
      </c>
      <c r="F651" t="str" cm="1">
        <f t="array" ref="F651">_xlfn.SWITCH(MID(E651,6,1),"S","Sucker","C","Crown","N","Nursery","")</f>
        <v>Crown</v>
      </c>
      <c r="G651" t="str" cm="1">
        <f t="array" ref="G651">_xlfn.SWITCH(MID(E651,7,1),"S","Sedang","K","Kecil","B","Besar","")</f>
        <v>Kecil</v>
      </c>
    </row>
    <row r="652" spans="1:7" x14ac:dyDescent="0.3">
      <c r="A652" s="1" t="s">
        <v>651</v>
      </c>
      <c r="B652" s="1" t="s">
        <v>792</v>
      </c>
      <c r="C652" s="2">
        <v>6.47</v>
      </c>
      <c r="D652" s="1" t="s">
        <v>731</v>
      </c>
      <c r="E652" s="1" t="s">
        <v>711</v>
      </c>
      <c r="F652" t="str" cm="1">
        <f t="array" ref="F652">_xlfn.SWITCH(MID(E652,6,1),"S","Sucker","C","Crown","N","Nursery","")</f>
        <v>Crown</v>
      </c>
      <c r="G652" t="str" cm="1">
        <f t="array" ref="G652">_xlfn.SWITCH(MID(E652,7,1),"S","Sedang","K","Kecil","B","Besar","")</f>
        <v>Kecil</v>
      </c>
    </row>
    <row r="653" spans="1:7" x14ac:dyDescent="0.3">
      <c r="A653" s="1" t="s">
        <v>652</v>
      </c>
      <c r="B653" s="1" t="s">
        <v>792</v>
      </c>
      <c r="C653" s="2">
        <v>8.57</v>
      </c>
      <c r="D653" s="1" t="s">
        <v>743</v>
      </c>
      <c r="E653" s="1" t="s">
        <v>707</v>
      </c>
      <c r="F653" t="str" cm="1">
        <f t="array" ref="F653">_xlfn.SWITCH(MID(E653,6,1),"S","Sucker","C","Crown","N","Nursery","")</f>
        <v>Sucker</v>
      </c>
      <c r="G653" t="str" cm="1">
        <f t="array" ref="G653">_xlfn.SWITCH(MID(E653,7,1),"S","Sedang","K","Kecil","B","Besar","")</f>
        <v>Sedang</v>
      </c>
    </row>
    <row r="654" spans="1:7" x14ac:dyDescent="0.3">
      <c r="A654" s="1" t="s">
        <v>653</v>
      </c>
      <c r="B654" s="1" t="s">
        <v>792</v>
      </c>
      <c r="C654" s="2">
        <v>7.57</v>
      </c>
      <c r="D654" s="1" t="s">
        <v>756</v>
      </c>
      <c r="E654" s="1" t="s">
        <v>727</v>
      </c>
      <c r="F654" t="str" cm="1">
        <f t="array" ref="F654">_xlfn.SWITCH(MID(E654,6,1),"S","Sucker","C","Crown","N","Nursery","")</f>
        <v>Sucker</v>
      </c>
      <c r="G654" t="str" cm="1">
        <f t="array" ref="G654">_xlfn.SWITCH(MID(E654,7,1),"S","Sedang","K","Kecil","B","Besar","")</f>
        <v>Besar</v>
      </c>
    </row>
    <row r="655" spans="1:7" x14ac:dyDescent="0.3">
      <c r="A655" s="1" t="s">
        <v>654</v>
      </c>
      <c r="B655" s="1" t="s">
        <v>792</v>
      </c>
      <c r="C655" s="2">
        <v>7.3</v>
      </c>
      <c r="D655" s="1" t="s">
        <v>728</v>
      </c>
      <c r="E655" s="1" t="s">
        <v>710</v>
      </c>
      <c r="F655" t="str" cm="1">
        <f t="array" ref="F655">_xlfn.SWITCH(MID(E655,6,1),"S","Sucker","C","Crown","N","Nursery","")</f>
        <v/>
      </c>
      <c r="G655" t="str" cm="1">
        <f t="array" ref="G655">_xlfn.SWITCH(MID(E655,7,1),"S","Sedang","K","Kecil","B","Besar","")</f>
        <v/>
      </c>
    </row>
    <row r="656" spans="1:7" x14ac:dyDescent="0.3">
      <c r="A656" s="1" t="s">
        <v>655</v>
      </c>
      <c r="B656" s="1" t="s">
        <v>792</v>
      </c>
      <c r="C656" s="2">
        <v>5.55</v>
      </c>
      <c r="D656" s="1" t="s">
        <v>738</v>
      </c>
      <c r="E656" s="1" t="s">
        <v>734</v>
      </c>
      <c r="F656" t="str" cm="1">
        <f t="array" ref="F656">_xlfn.SWITCH(MID(E656,6,1),"S","Sucker","C","Crown","N","Nursery","")</f>
        <v>Sucker</v>
      </c>
      <c r="G656" t="str" cm="1">
        <f t="array" ref="G656">_xlfn.SWITCH(MID(E656,7,1),"S","Sedang","K","Kecil","B","Besar","")</f>
        <v>Kecil</v>
      </c>
    </row>
    <row r="657" spans="1:7" x14ac:dyDescent="0.3">
      <c r="A657" s="1" t="s">
        <v>656</v>
      </c>
      <c r="B657" s="1" t="s">
        <v>792</v>
      </c>
      <c r="C657" s="2">
        <v>12.97</v>
      </c>
      <c r="D657" s="1" t="s">
        <v>721</v>
      </c>
      <c r="E657" s="1" t="s">
        <v>710</v>
      </c>
      <c r="F657" t="str" cm="1">
        <f t="array" ref="F657">_xlfn.SWITCH(MID(E657,6,1),"S","Sucker","C","Crown","N","Nursery","")</f>
        <v/>
      </c>
      <c r="G657" t="str" cm="1">
        <f t="array" ref="G657">_xlfn.SWITCH(MID(E657,7,1),"S","Sedang","K","Kecil","B","Besar","")</f>
        <v/>
      </c>
    </row>
    <row r="658" spans="1:7" x14ac:dyDescent="0.3">
      <c r="A658" s="1" t="s">
        <v>657</v>
      </c>
      <c r="B658" s="1" t="s">
        <v>792</v>
      </c>
      <c r="C658" s="2">
        <v>5.93</v>
      </c>
      <c r="D658" s="1" t="s">
        <v>802</v>
      </c>
      <c r="E658" s="1" t="s">
        <v>710</v>
      </c>
      <c r="F658" t="str" cm="1">
        <f t="array" ref="F658">_xlfn.SWITCH(MID(E658,6,1),"S","Sucker","C","Crown","N","Nursery","")</f>
        <v/>
      </c>
      <c r="G658" t="str" cm="1">
        <f t="array" ref="G658">_xlfn.SWITCH(MID(E658,7,1),"S","Sedang","K","Kecil","B","Besar","")</f>
        <v/>
      </c>
    </row>
    <row r="659" spans="1:7" x14ac:dyDescent="0.3">
      <c r="A659" s="1" t="s">
        <v>658</v>
      </c>
      <c r="B659" s="1" t="s">
        <v>792</v>
      </c>
      <c r="C659" s="2">
        <v>7.28</v>
      </c>
      <c r="D659" s="1" t="s">
        <v>802</v>
      </c>
      <c r="E659" s="1" t="s">
        <v>710</v>
      </c>
      <c r="F659" t="str" cm="1">
        <f t="array" ref="F659">_xlfn.SWITCH(MID(E659,6,1),"S","Sucker","C","Crown","N","Nursery","")</f>
        <v/>
      </c>
      <c r="G659" t="str" cm="1">
        <f t="array" ref="G659">_xlfn.SWITCH(MID(E659,7,1),"S","Sedang","K","Kecil","B","Besar","")</f>
        <v/>
      </c>
    </row>
    <row r="660" spans="1:7" x14ac:dyDescent="0.3">
      <c r="A660" s="1" t="s">
        <v>659</v>
      </c>
      <c r="B660" s="1" t="s">
        <v>792</v>
      </c>
      <c r="C660" s="2">
        <v>8.68</v>
      </c>
      <c r="D660" s="1" t="s">
        <v>738</v>
      </c>
      <c r="E660" s="1" t="s">
        <v>711</v>
      </c>
      <c r="F660" t="str" cm="1">
        <f t="array" ref="F660">_xlfn.SWITCH(MID(E660,6,1),"S","Sucker","C","Crown","N","Nursery","")</f>
        <v>Crown</v>
      </c>
      <c r="G660" t="str" cm="1">
        <f t="array" ref="G660">_xlfn.SWITCH(MID(E660,7,1),"S","Sedang","K","Kecil","B","Besar","")</f>
        <v>Kecil</v>
      </c>
    </row>
    <row r="661" spans="1:7" x14ac:dyDescent="0.3">
      <c r="A661" s="1" t="s">
        <v>660</v>
      </c>
      <c r="B661" s="1" t="s">
        <v>794</v>
      </c>
      <c r="C661" s="2">
        <v>5.49</v>
      </c>
      <c r="D661" s="1" t="s">
        <v>735</v>
      </c>
      <c r="E661" s="1" t="s">
        <v>711</v>
      </c>
      <c r="F661" t="str" cm="1">
        <f t="array" ref="F661">_xlfn.SWITCH(MID(E661,6,1),"S","Sucker","C","Crown","N","Nursery","")</f>
        <v>Crown</v>
      </c>
      <c r="G661" t="str" cm="1">
        <f t="array" ref="G661">_xlfn.SWITCH(MID(E661,7,1),"S","Sedang","K","Kecil","B","Besar","")</f>
        <v>Kecil</v>
      </c>
    </row>
    <row r="662" spans="1:7" x14ac:dyDescent="0.3">
      <c r="A662" s="1" t="s">
        <v>661</v>
      </c>
      <c r="B662" s="1" t="s">
        <v>778</v>
      </c>
      <c r="C662" s="2">
        <v>4.17</v>
      </c>
      <c r="D662" s="1" t="s">
        <v>721</v>
      </c>
      <c r="E662" s="1" t="s">
        <v>710</v>
      </c>
      <c r="F662" t="str" cm="1">
        <f t="array" ref="F662">_xlfn.SWITCH(MID(E662,6,1),"S","Sucker","C","Crown","N","Nursery","")</f>
        <v/>
      </c>
      <c r="G662" t="str" cm="1">
        <f t="array" ref="G662">_xlfn.SWITCH(MID(E662,7,1),"S","Sedang","K","Kecil","B","Besar","")</f>
        <v/>
      </c>
    </row>
    <row r="663" spans="1:7" x14ac:dyDescent="0.3">
      <c r="A663" s="1" t="s">
        <v>662</v>
      </c>
      <c r="B663" s="1" t="s">
        <v>794</v>
      </c>
      <c r="C663" s="2">
        <v>6.3</v>
      </c>
      <c r="D663" s="1" t="s">
        <v>719</v>
      </c>
      <c r="E663" s="1" t="s">
        <v>711</v>
      </c>
      <c r="F663" t="str" cm="1">
        <f t="array" ref="F663">_xlfn.SWITCH(MID(E663,6,1),"S","Sucker","C","Crown","N","Nursery","")</f>
        <v>Crown</v>
      </c>
      <c r="G663" t="str" cm="1">
        <f t="array" ref="G663">_xlfn.SWITCH(MID(E663,7,1),"S","Sedang","K","Kecil","B","Besar","")</f>
        <v>Kecil</v>
      </c>
    </row>
    <row r="664" spans="1:7" x14ac:dyDescent="0.3">
      <c r="A664" s="1" t="s">
        <v>663</v>
      </c>
      <c r="B664" s="1" t="s">
        <v>794</v>
      </c>
      <c r="C664" s="2">
        <v>5.03</v>
      </c>
      <c r="D664" s="1" t="s">
        <v>731</v>
      </c>
      <c r="E664" s="1" t="s">
        <v>711</v>
      </c>
      <c r="F664" t="str" cm="1">
        <f t="array" ref="F664">_xlfn.SWITCH(MID(E664,6,1),"S","Sucker","C","Crown","N","Nursery","")</f>
        <v>Crown</v>
      </c>
      <c r="G664" t="str" cm="1">
        <f t="array" ref="G664">_xlfn.SWITCH(MID(E664,7,1),"S","Sedang","K","Kecil","B","Besar","")</f>
        <v>Kecil</v>
      </c>
    </row>
    <row r="665" spans="1:7" x14ac:dyDescent="0.3">
      <c r="A665" s="1" t="s">
        <v>664</v>
      </c>
      <c r="B665" s="1" t="s">
        <v>794</v>
      </c>
      <c r="C665" s="2">
        <v>8.0399999999999991</v>
      </c>
      <c r="D665" s="1" t="s">
        <v>743</v>
      </c>
      <c r="E665" s="1" t="s">
        <v>711</v>
      </c>
      <c r="F665" t="str" cm="1">
        <f t="array" ref="F665">_xlfn.SWITCH(MID(E665,6,1),"S","Sucker","C","Crown","N","Nursery","")</f>
        <v>Crown</v>
      </c>
      <c r="G665" t="str" cm="1">
        <f t="array" ref="G665">_xlfn.SWITCH(MID(E665,7,1),"S","Sedang","K","Kecil","B","Besar","")</f>
        <v>Kecil</v>
      </c>
    </row>
    <row r="666" spans="1:7" x14ac:dyDescent="0.3">
      <c r="A666" s="1" t="s">
        <v>665</v>
      </c>
      <c r="B666" s="1" t="s">
        <v>794</v>
      </c>
      <c r="C666" s="2">
        <v>5.27</v>
      </c>
      <c r="D666" s="1" t="s">
        <v>743</v>
      </c>
      <c r="E666" s="1" t="s">
        <v>711</v>
      </c>
      <c r="F666" t="str" cm="1">
        <f t="array" ref="F666">_xlfn.SWITCH(MID(E666,6,1),"S","Sucker","C","Crown","N","Nursery","")</f>
        <v>Crown</v>
      </c>
      <c r="G666" t="str" cm="1">
        <f t="array" ref="G666">_xlfn.SWITCH(MID(E666,7,1),"S","Sedang","K","Kecil","B","Besar","")</f>
        <v>Kecil</v>
      </c>
    </row>
    <row r="667" spans="1:7" x14ac:dyDescent="0.3">
      <c r="A667" s="1" t="s">
        <v>666</v>
      </c>
      <c r="B667" s="1" t="s">
        <v>794</v>
      </c>
      <c r="C667" s="2">
        <v>12.15</v>
      </c>
      <c r="D667" s="1" t="s">
        <v>717</v>
      </c>
      <c r="E667" s="1" t="s">
        <v>711</v>
      </c>
      <c r="F667" t="str" cm="1">
        <f t="array" ref="F667">_xlfn.SWITCH(MID(E667,6,1),"S","Sucker","C","Crown","N","Nursery","")</f>
        <v>Crown</v>
      </c>
      <c r="G667" t="str" cm="1">
        <f t="array" ref="G667">_xlfn.SWITCH(MID(E667,7,1),"S","Sedang","K","Kecil","B","Besar","")</f>
        <v>Kecil</v>
      </c>
    </row>
    <row r="668" spans="1:7" x14ac:dyDescent="0.3">
      <c r="A668" s="1" t="s">
        <v>667</v>
      </c>
      <c r="B668" s="1" t="s">
        <v>794</v>
      </c>
      <c r="C668" s="2">
        <v>12.56</v>
      </c>
      <c r="D668" s="1" t="s">
        <v>726</v>
      </c>
      <c r="E668" s="1" t="s">
        <v>711</v>
      </c>
      <c r="F668" t="str" cm="1">
        <f t="array" ref="F668">_xlfn.SWITCH(MID(E668,6,1),"S","Sucker","C","Crown","N","Nursery","")</f>
        <v>Crown</v>
      </c>
      <c r="G668" t="str" cm="1">
        <f t="array" ref="G668">_xlfn.SWITCH(MID(E668,7,1),"S","Sedang","K","Kecil","B","Besar","")</f>
        <v>Kecil</v>
      </c>
    </row>
    <row r="669" spans="1:7" x14ac:dyDescent="0.3">
      <c r="A669" s="1" t="s">
        <v>668</v>
      </c>
      <c r="B669" s="1" t="s">
        <v>794</v>
      </c>
      <c r="C669" s="2">
        <v>9.69</v>
      </c>
      <c r="D669" s="1" t="s">
        <v>720</v>
      </c>
      <c r="E669" s="1" t="s">
        <v>711</v>
      </c>
      <c r="F669" t="str" cm="1">
        <f t="array" ref="F669">_xlfn.SWITCH(MID(E669,6,1),"S","Sucker","C","Crown","N","Nursery","")</f>
        <v>Crown</v>
      </c>
      <c r="G669" t="str" cm="1">
        <f t="array" ref="G669">_xlfn.SWITCH(MID(E669,7,1),"S","Sedang","K","Kecil","B","Besar","")</f>
        <v>Kecil</v>
      </c>
    </row>
    <row r="670" spans="1:7" x14ac:dyDescent="0.3">
      <c r="A670" s="1" t="s">
        <v>669</v>
      </c>
      <c r="B670" s="1" t="s">
        <v>794</v>
      </c>
      <c r="C670" s="2">
        <v>10.61</v>
      </c>
      <c r="D670" s="1" t="s">
        <v>738</v>
      </c>
      <c r="E670" s="1" t="s">
        <v>727</v>
      </c>
      <c r="F670" t="str" cm="1">
        <f t="array" ref="F670">_xlfn.SWITCH(MID(E670,6,1),"S","Sucker","C","Crown","N","Nursery","")</f>
        <v>Sucker</v>
      </c>
      <c r="G670" t="str" cm="1">
        <f t="array" ref="G670">_xlfn.SWITCH(MID(E670,7,1),"S","Sedang","K","Kecil","B","Besar","")</f>
        <v>Besar</v>
      </c>
    </row>
    <row r="671" spans="1:7" x14ac:dyDescent="0.3">
      <c r="A671" s="1" t="s">
        <v>670</v>
      </c>
      <c r="B671" s="1" t="s">
        <v>794</v>
      </c>
      <c r="C671" s="2">
        <v>10.37</v>
      </c>
      <c r="D671" s="1" t="s">
        <v>738</v>
      </c>
      <c r="E671" s="1" t="s">
        <v>711</v>
      </c>
      <c r="F671" t="str" cm="1">
        <f t="array" ref="F671">_xlfn.SWITCH(MID(E671,6,1),"S","Sucker","C","Crown","N","Nursery","")</f>
        <v>Crown</v>
      </c>
      <c r="G671" t="str" cm="1">
        <f t="array" ref="G671">_xlfn.SWITCH(MID(E671,7,1),"S","Sedang","K","Kecil","B","Besar","")</f>
        <v>Kecil</v>
      </c>
    </row>
    <row r="672" spans="1:7" x14ac:dyDescent="0.3">
      <c r="A672" s="1" t="s">
        <v>671</v>
      </c>
      <c r="B672" s="1" t="s">
        <v>794</v>
      </c>
      <c r="C672" s="2">
        <v>5.89</v>
      </c>
      <c r="D672" s="1" t="s">
        <v>760</v>
      </c>
      <c r="E672" s="1" t="s">
        <v>710</v>
      </c>
      <c r="F672" t="str" cm="1">
        <f t="array" ref="F672">_xlfn.SWITCH(MID(E672,6,1),"S","Sucker","C","Crown","N","Nursery","")</f>
        <v/>
      </c>
      <c r="G672" t="str" cm="1">
        <f t="array" ref="G672">_xlfn.SWITCH(MID(E672,7,1),"S","Sedang","K","Kecil","B","Besar","")</f>
        <v/>
      </c>
    </row>
    <row r="673" spans="1:7" x14ac:dyDescent="0.3">
      <c r="A673" s="1" t="s">
        <v>672</v>
      </c>
      <c r="B673" s="1" t="s">
        <v>778</v>
      </c>
      <c r="C673" s="2">
        <v>2.4</v>
      </c>
      <c r="D673" s="1" t="s">
        <v>760</v>
      </c>
      <c r="E673" s="1" t="s">
        <v>710</v>
      </c>
      <c r="F673" t="str" cm="1">
        <f t="array" ref="F673">_xlfn.SWITCH(MID(E673,6,1),"S","Sucker","C","Crown","N","Nursery","")</f>
        <v/>
      </c>
      <c r="G673" t="str" cm="1">
        <f t="array" ref="G673">_xlfn.SWITCH(MID(E673,7,1),"S","Sedang","K","Kecil","B","Besar","")</f>
        <v/>
      </c>
    </row>
    <row r="674" spans="1:7" x14ac:dyDescent="0.3">
      <c r="A674" s="1" t="s">
        <v>673</v>
      </c>
      <c r="B674" s="1" t="s">
        <v>794</v>
      </c>
      <c r="C674" s="2">
        <v>6.59</v>
      </c>
      <c r="D674" s="1" t="s">
        <v>714</v>
      </c>
      <c r="E674" s="1" t="s">
        <v>707</v>
      </c>
      <c r="F674" t="str" cm="1">
        <f t="array" ref="F674">_xlfn.SWITCH(MID(E674,6,1),"S","Sucker","C","Crown","N","Nursery","")</f>
        <v>Sucker</v>
      </c>
      <c r="G674" t="str" cm="1">
        <f t="array" ref="G674">_xlfn.SWITCH(MID(E674,7,1),"S","Sedang","K","Kecil","B","Besar","")</f>
        <v>Sedang</v>
      </c>
    </row>
    <row r="675" spans="1:7" x14ac:dyDescent="0.3">
      <c r="A675" s="1" t="s">
        <v>674</v>
      </c>
      <c r="B675" s="1" t="s">
        <v>794</v>
      </c>
      <c r="C675" s="2">
        <v>10.65</v>
      </c>
      <c r="D675" s="1" t="s">
        <v>719</v>
      </c>
      <c r="E675" s="1" t="s">
        <v>707</v>
      </c>
      <c r="F675" t="str" cm="1">
        <f t="array" ref="F675">_xlfn.SWITCH(MID(E675,6,1),"S","Sucker","C","Crown","N","Nursery","")</f>
        <v>Sucker</v>
      </c>
      <c r="G675" t="str" cm="1">
        <f t="array" ref="G675">_xlfn.SWITCH(MID(E675,7,1),"S","Sedang","K","Kecil","B","Besar","")</f>
        <v>Sedang</v>
      </c>
    </row>
    <row r="676" spans="1:7" x14ac:dyDescent="0.3">
      <c r="A676" s="1" t="s">
        <v>675</v>
      </c>
      <c r="B676" s="1" t="s">
        <v>794</v>
      </c>
      <c r="C676" s="2">
        <v>7.97</v>
      </c>
      <c r="D676" s="1" t="s">
        <v>751</v>
      </c>
      <c r="E676" s="1" t="s">
        <v>711</v>
      </c>
      <c r="F676" t="str" cm="1">
        <f t="array" ref="F676">_xlfn.SWITCH(MID(E676,6,1),"S","Sucker","C","Crown","N","Nursery","")</f>
        <v>Crown</v>
      </c>
      <c r="G676" t="str" cm="1">
        <f t="array" ref="G676">_xlfn.SWITCH(MID(E676,7,1),"S","Sedang","K","Kecil","B","Besar","")</f>
        <v>Kecil</v>
      </c>
    </row>
    <row r="677" spans="1:7" x14ac:dyDescent="0.3">
      <c r="A677" s="1" t="s">
        <v>676</v>
      </c>
      <c r="B677" s="1" t="s">
        <v>794</v>
      </c>
      <c r="C677" s="2">
        <v>11.69</v>
      </c>
      <c r="D677" s="1" t="s">
        <v>737</v>
      </c>
      <c r="E677" s="1" t="s">
        <v>711</v>
      </c>
      <c r="F677" t="str" cm="1">
        <f t="array" ref="F677">_xlfn.SWITCH(MID(E677,6,1),"S","Sucker","C","Crown","N","Nursery","")</f>
        <v>Crown</v>
      </c>
      <c r="G677" t="str" cm="1">
        <f t="array" ref="G677">_xlfn.SWITCH(MID(E677,7,1),"S","Sedang","K","Kecil","B","Besar","")</f>
        <v>Kecil</v>
      </c>
    </row>
    <row r="678" spans="1:7" x14ac:dyDescent="0.3">
      <c r="A678" s="1" t="s">
        <v>677</v>
      </c>
      <c r="B678" s="1" t="s">
        <v>794</v>
      </c>
      <c r="C678" s="2">
        <v>9.5500000000000007</v>
      </c>
      <c r="D678" s="1" t="s">
        <v>720</v>
      </c>
      <c r="E678" s="1" t="s">
        <v>711</v>
      </c>
      <c r="F678" t="str" cm="1">
        <f t="array" ref="F678">_xlfn.SWITCH(MID(E678,6,1),"S","Sucker","C","Crown","N","Nursery","")</f>
        <v>Crown</v>
      </c>
      <c r="G678" t="str" cm="1">
        <f t="array" ref="G678">_xlfn.SWITCH(MID(E678,7,1),"S","Sedang","K","Kecil","B","Besar","")</f>
        <v>Kecil</v>
      </c>
    </row>
    <row r="679" spans="1:7" x14ac:dyDescent="0.3">
      <c r="A679" s="1" t="s">
        <v>678</v>
      </c>
      <c r="B679" s="1" t="s">
        <v>794</v>
      </c>
      <c r="C679" s="2">
        <v>12.61</v>
      </c>
      <c r="D679" s="1" t="s">
        <v>756</v>
      </c>
      <c r="E679" s="1" t="s">
        <v>711</v>
      </c>
      <c r="F679" t="str" cm="1">
        <f t="array" ref="F679">_xlfn.SWITCH(MID(E679,6,1),"S","Sucker","C","Crown","N","Nursery","")</f>
        <v>Crown</v>
      </c>
      <c r="G679" t="str" cm="1">
        <f t="array" ref="G679">_xlfn.SWITCH(MID(E679,7,1),"S","Sedang","K","Kecil","B","Besar","")</f>
        <v>Kecil</v>
      </c>
    </row>
    <row r="680" spans="1:7" x14ac:dyDescent="0.3">
      <c r="A680" s="1" t="s">
        <v>679</v>
      </c>
      <c r="B680" s="1" t="s">
        <v>794</v>
      </c>
      <c r="C680" s="2">
        <v>7.22</v>
      </c>
      <c r="D680" s="1" t="s">
        <v>751</v>
      </c>
      <c r="E680" s="1" t="s">
        <v>711</v>
      </c>
      <c r="F680" t="str" cm="1">
        <f t="array" ref="F680">_xlfn.SWITCH(MID(E680,6,1),"S","Sucker","C","Crown","N","Nursery","")</f>
        <v>Crown</v>
      </c>
      <c r="G680" t="str" cm="1">
        <f t="array" ref="G680">_xlfn.SWITCH(MID(E680,7,1),"S","Sedang","K","Kecil","B","Besar","")</f>
        <v>Kecil</v>
      </c>
    </row>
    <row r="681" spans="1:7" x14ac:dyDescent="0.3">
      <c r="A681" s="1" t="s">
        <v>680</v>
      </c>
      <c r="B681" s="1" t="s">
        <v>794</v>
      </c>
      <c r="C681" s="2">
        <v>5.98</v>
      </c>
      <c r="D681" s="1" t="s">
        <v>748</v>
      </c>
      <c r="E681" s="1" t="s">
        <v>710</v>
      </c>
      <c r="F681" t="str" cm="1">
        <f t="array" ref="F681">_xlfn.SWITCH(MID(E681,6,1),"S","Sucker","C","Crown","N","Nursery","")</f>
        <v/>
      </c>
      <c r="G681" t="str" cm="1">
        <f t="array" ref="G681">_xlfn.SWITCH(MID(E681,7,1),"S","Sedang","K","Kecil","B","Besar","")</f>
        <v/>
      </c>
    </row>
    <row r="682" spans="1:7" x14ac:dyDescent="0.3">
      <c r="A682" s="1" t="s">
        <v>681</v>
      </c>
      <c r="B682" s="1" t="s">
        <v>794</v>
      </c>
      <c r="C682" s="2">
        <v>7.8</v>
      </c>
      <c r="D682" s="1" t="s">
        <v>756</v>
      </c>
      <c r="E682" s="1" t="s">
        <v>711</v>
      </c>
      <c r="F682" t="str" cm="1">
        <f t="array" ref="F682">_xlfn.SWITCH(MID(E682,6,1),"S","Sucker","C","Crown","N","Nursery","")</f>
        <v>Crown</v>
      </c>
      <c r="G682" t="str" cm="1">
        <f t="array" ref="G682">_xlfn.SWITCH(MID(E682,7,1),"S","Sedang","K","Kecil","B","Besar","")</f>
        <v>Kecil</v>
      </c>
    </row>
    <row r="683" spans="1:7" x14ac:dyDescent="0.3">
      <c r="A683" s="1" t="s">
        <v>682</v>
      </c>
      <c r="B683" s="1" t="s">
        <v>794</v>
      </c>
      <c r="C683" s="2">
        <v>3.87</v>
      </c>
      <c r="D683" s="1" t="s">
        <v>756</v>
      </c>
      <c r="E683" s="1" t="s">
        <v>711</v>
      </c>
      <c r="F683" t="str" cm="1">
        <f t="array" ref="F683">_xlfn.SWITCH(MID(E683,6,1),"S","Sucker","C","Crown","N","Nursery","")</f>
        <v>Crown</v>
      </c>
      <c r="G683" t="str" cm="1">
        <f t="array" ref="G683">_xlfn.SWITCH(MID(E683,7,1),"S","Sedang","K","Kecil","B","Besar","")</f>
        <v>Kecil</v>
      </c>
    </row>
    <row r="684" spans="1:7" x14ac:dyDescent="0.3">
      <c r="A684" s="1" t="s">
        <v>683</v>
      </c>
      <c r="B684" s="1" t="s">
        <v>794</v>
      </c>
      <c r="C684" s="2">
        <v>8.15</v>
      </c>
      <c r="D684" s="1" t="s">
        <v>714</v>
      </c>
      <c r="E684" s="1" t="s">
        <v>711</v>
      </c>
      <c r="F684" t="str" cm="1">
        <f t="array" ref="F684">_xlfn.SWITCH(MID(E684,6,1),"S","Sucker","C","Crown","N","Nursery","")</f>
        <v>Crown</v>
      </c>
      <c r="G684" t="str" cm="1">
        <f t="array" ref="G684">_xlfn.SWITCH(MID(E684,7,1),"S","Sedang","K","Kecil","B","Besar","")</f>
        <v>Kecil</v>
      </c>
    </row>
    <row r="685" spans="1:7" x14ac:dyDescent="0.3">
      <c r="A685" s="1" t="s">
        <v>684</v>
      </c>
      <c r="B685" s="1" t="s">
        <v>794</v>
      </c>
      <c r="C685" s="2">
        <v>6.63</v>
      </c>
      <c r="D685" s="1" t="s">
        <v>717</v>
      </c>
      <c r="E685" s="1" t="s">
        <v>711</v>
      </c>
      <c r="F685" t="str" cm="1">
        <f t="array" ref="F685">_xlfn.SWITCH(MID(E685,6,1),"S","Sucker","C","Crown","N","Nursery","")</f>
        <v>Crown</v>
      </c>
      <c r="G685" t="str" cm="1">
        <f t="array" ref="G685">_xlfn.SWITCH(MID(E685,7,1),"S","Sedang","K","Kecil","B","Besar","")</f>
        <v>Kecil</v>
      </c>
    </row>
    <row r="686" spans="1:7" x14ac:dyDescent="0.3">
      <c r="A686" s="1" t="s">
        <v>685</v>
      </c>
      <c r="B686" s="1" t="s">
        <v>794</v>
      </c>
      <c r="C686" s="2">
        <v>7.22</v>
      </c>
      <c r="D686" s="1" t="s">
        <v>742</v>
      </c>
      <c r="E686" s="1" t="s">
        <v>710</v>
      </c>
      <c r="F686" t="str" cm="1">
        <f t="array" ref="F686">_xlfn.SWITCH(MID(E686,6,1),"S","Sucker","C","Crown","N","Nursery","")</f>
        <v/>
      </c>
      <c r="G686" t="str" cm="1">
        <f t="array" ref="G686">_xlfn.SWITCH(MID(E686,7,1),"S","Sedang","K","Kecil","B","Besar","")</f>
        <v/>
      </c>
    </row>
    <row r="687" spans="1:7" x14ac:dyDescent="0.3">
      <c r="A687" s="1" t="s">
        <v>686</v>
      </c>
      <c r="B687" s="1" t="s">
        <v>794</v>
      </c>
      <c r="C687" s="2">
        <v>6.93</v>
      </c>
      <c r="D687" s="1" t="s">
        <v>733</v>
      </c>
      <c r="E687" s="1" t="s">
        <v>710</v>
      </c>
      <c r="F687" t="str" cm="1">
        <f t="array" ref="F687">_xlfn.SWITCH(MID(E687,6,1),"S","Sucker","C","Crown","N","Nursery","")</f>
        <v/>
      </c>
      <c r="G687" t="str" cm="1">
        <f t="array" ref="G687">_xlfn.SWITCH(MID(E687,7,1),"S","Sedang","K","Kecil","B","Besar","")</f>
        <v/>
      </c>
    </row>
    <row r="688" spans="1:7" x14ac:dyDescent="0.3">
      <c r="A688" s="1" t="s">
        <v>687</v>
      </c>
      <c r="B688" s="1" t="s">
        <v>794</v>
      </c>
      <c r="C688" s="2">
        <v>9.6199999999999992</v>
      </c>
      <c r="D688" s="1" t="s">
        <v>729</v>
      </c>
      <c r="E688" s="1" t="s">
        <v>710</v>
      </c>
      <c r="F688" t="str" cm="1">
        <f t="array" ref="F688">_xlfn.SWITCH(MID(E688,6,1),"S","Sucker","C","Crown","N","Nursery","")</f>
        <v/>
      </c>
      <c r="G688" t="str" cm="1">
        <f t="array" ref="G688">_xlfn.SWITCH(MID(E688,7,1),"S","Sedang","K","Kecil","B","Besar","")</f>
        <v/>
      </c>
    </row>
    <row r="689" spans="1:7" x14ac:dyDescent="0.3">
      <c r="A689" s="1" t="s">
        <v>688</v>
      </c>
      <c r="B689" s="1" t="s">
        <v>794</v>
      </c>
      <c r="C689" s="2">
        <v>6.58</v>
      </c>
      <c r="D689" s="1" t="s">
        <v>760</v>
      </c>
      <c r="E689" s="1" t="s">
        <v>710</v>
      </c>
      <c r="F689" t="str" cm="1">
        <f t="array" ref="F689">_xlfn.SWITCH(MID(E689,6,1),"S","Sucker","C","Crown","N","Nursery","")</f>
        <v/>
      </c>
      <c r="G689" t="str" cm="1">
        <f t="array" ref="G689">_xlfn.SWITCH(MID(E689,7,1),"S","Sedang","K","Kecil","B","Besar","")</f>
        <v/>
      </c>
    </row>
    <row r="690" spans="1:7" x14ac:dyDescent="0.3">
      <c r="A690" s="1" t="s">
        <v>689</v>
      </c>
      <c r="B690" s="1" t="s">
        <v>794</v>
      </c>
      <c r="C690" s="2">
        <v>5.56</v>
      </c>
      <c r="D690" s="1" t="s">
        <v>718</v>
      </c>
      <c r="E690" s="1" t="s">
        <v>710</v>
      </c>
      <c r="F690" t="str" cm="1">
        <f t="array" ref="F690">_xlfn.SWITCH(MID(E690,6,1),"S","Sucker","C","Crown","N","Nursery","")</f>
        <v/>
      </c>
      <c r="G690" t="str" cm="1">
        <f t="array" ref="G690">_xlfn.SWITCH(MID(E690,7,1),"S","Sedang","K","Kecil","B","Besar","")</f>
        <v/>
      </c>
    </row>
    <row r="691" spans="1:7" x14ac:dyDescent="0.3">
      <c r="A691" s="1" t="s">
        <v>690</v>
      </c>
      <c r="B691" s="1" t="s">
        <v>794</v>
      </c>
      <c r="C691" s="2">
        <v>8.73</v>
      </c>
      <c r="D691" s="1" t="s">
        <v>709</v>
      </c>
      <c r="E691" s="1" t="s">
        <v>710</v>
      </c>
      <c r="F691" t="str" cm="1">
        <f t="array" ref="F691">_xlfn.SWITCH(MID(E691,6,1),"S","Sucker","C","Crown","N","Nursery","")</f>
        <v/>
      </c>
      <c r="G691" t="str" cm="1">
        <f t="array" ref="G691">_xlfn.SWITCH(MID(E691,7,1),"S","Sedang","K","Kecil","B","Besar","")</f>
        <v/>
      </c>
    </row>
    <row r="692" spans="1:7" x14ac:dyDescent="0.3">
      <c r="A692" s="1" t="s">
        <v>691</v>
      </c>
      <c r="B692" s="1" t="s">
        <v>794</v>
      </c>
      <c r="C692" s="2">
        <v>5.67</v>
      </c>
      <c r="D692" s="1" t="s">
        <v>802</v>
      </c>
      <c r="E692" s="1" t="s">
        <v>710</v>
      </c>
      <c r="F692" t="str" cm="1">
        <f t="array" ref="F692">_xlfn.SWITCH(MID(E692,6,1),"S","Sucker","C","Crown","N","Nursery","")</f>
        <v/>
      </c>
      <c r="G692" t="str" cm="1">
        <f t="array" ref="G692">_xlfn.SWITCH(MID(E692,7,1),"S","Sedang","K","Kecil","B","Besar","")</f>
        <v/>
      </c>
    </row>
    <row r="693" spans="1:7" x14ac:dyDescent="0.3">
      <c r="A693" s="1" t="s">
        <v>692</v>
      </c>
      <c r="B693" s="1" t="s">
        <v>794</v>
      </c>
      <c r="C693" s="2">
        <v>5.61</v>
      </c>
      <c r="D693" s="1" t="s">
        <v>789</v>
      </c>
      <c r="E693" s="1" t="s">
        <v>710</v>
      </c>
      <c r="F693" t="str" cm="1">
        <f t="array" ref="F693">_xlfn.SWITCH(MID(E693,6,1),"S","Sucker","C","Crown","N","Nursery","")</f>
        <v/>
      </c>
      <c r="G693" t="str" cm="1">
        <f t="array" ref="G693">_xlfn.SWITCH(MID(E693,7,1),"S","Sedang","K","Kecil","B","Besar","")</f>
        <v/>
      </c>
    </row>
    <row r="694" spans="1:7" x14ac:dyDescent="0.3">
      <c r="A694" s="1" t="s">
        <v>693</v>
      </c>
      <c r="B694" s="1" t="s">
        <v>794</v>
      </c>
      <c r="C694" s="2">
        <v>10.26</v>
      </c>
      <c r="D694" s="1" t="s">
        <v>716</v>
      </c>
      <c r="E694" s="1" t="s">
        <v>710</v>
      </c>
      <c r="F694" t="str" cm="1">
        <f t="array" ref="F694">_xlfn.SWITCH(MID(E694,6,1),"S","Sucker","C","Crown","N","Nursery","")</f>
        <v/>
      </c>
      <c r="G694" t="str" cm="1">
        <f t="array" ref="G694">_xlfn.SWITCH(MID(E694,7,1),"S","Sedang","K","Kecil","B","Besar","")</f>
        <v/>
      </c>
    </row>
    <row r="695" spans="1:7" x14ac:dyDescent="0.3">
      <c r="A695" s="1" t="s">
        <v>694</v>
      </c>
      <c r="B695" s="1" t="s">
        <v>794</v>
      </c>
      <c r="C695" s="2">
        <v>7.76</v>
      </c>
      <c r="D695" s="1" t="s">
        <v>748</v>
      </c>
      <c r="E695" s="1" t="s">
        <v>710</v>
      </c>
      <c r="F695" t="str" cm="1">
        <f t="array" ref="F695">_xlfn.SWITCH(MID(E695,6,1),"S","Sucker","C","Crown","N","Nursery","")</f>
        <v/>
      </c>
      <c r="G695" t="str" cm="1">
        <f t="array" ref="G695">_xlfn.SWITCH(MID(E695,7,1),"S","Sedang","K","Kecil","B","Besar","")</f>
        <v/>
      </c>
    </row>
    <row r="696" spans="1:7" x14ac:dyDescent="0.3">
      <c r="A696" s="1" t="s">
        <v>695</v>
      </c>
      <c r="B696" s="1" t="s">
        <v>794</v>
      </c>
      <c r="C696" s="2">
        <v>6.12</v>
      </c>
      <c r="D696" s="1" t="s">
        <v>748</v>
      </c>
      <c r="E696" s="1" t="s">
        <v>710</v>
      </c>
      <c r="F696" t="str" cm="1">
        <f t="array" ref="F696">_xlfn.SWITCH(MID(E696,6,1),"S","Sucker","C","Crown","N","Nursery","")</f>
        <v/>
      </c>
      <c r="G696" t="str" cm="1">
        <f t="array" ref="G696">_xlfn.SWITCH(MID(E696,7,1),"S","Sedang","K","Kecil","B","Besar","")</f>
        <v/>
      </c>
    </row>
    <row r="697" spans="1:7" x14ac:dyDescent="0.3">
      <c r="A697" s="1" t="s">
        <v>696</v>
      </c>
      <c r="B697" s="1" t="s">
        <v>794</v>
      </c>
      <c r="C697" s="2">
        <v>9.2799999999999994</v>
      </c>
      <c r="D697" s="1" t="s">
        <v>789</v>
      </c>
      <c r="E697" s="1" t="s">
        <v>710</v>
      </c>
      <c r="F697" t="str" cm="1">
        <f t="array" ref="F697">_xlfn.SWITCH(MID(E697,6,1),"S","Sucker","C","Crown","N","Nursery","")</f>
        <v/>
      </c>
      <c r="G697" t="str" cm="1">
        <f t="array" ref="G697">_xlfn.SWITCH(MID(E697,7,1),"S","Sedang","K","Kecil","B","Besar","")</f>
        <v/>
      </c>
    </row>
    <row r="698" spans="1:7" x14ac:dyDescent="0.3">
      <c r="A698" s="1" t="s">
        <v>697</v>
      </c>
      <c r="B698" s="1" t="s">
        <v>794</v>
      </c>
      <c r="C698" s="2">
        <v>8.06</v>
      </c>
      <c r="D698" s="1" t="s">
        <v>738</v>
      </c>
      <c r="E698" s="1" t="s">
        <v>707</v>
      </c>
      <c r="F698" t="str" cm="1">
        <f t="array" ref="F698">_xlfn.SWITCH(MID(E698,6,1),"S","Sucker","C","Crown","N","Nursery","")</f>
        <v>Sucker</v>
      </c>
      <c r="G698" t="str" cm="1">
        <f t="array" ref="G698">_xlfn.SWITCH(MID(E698,7,1),"S","Sedang","K","Kecil","B","Besar","")</f>
        <v>Sedang</v>
      </c>
    </row>
    <row r="699" spans="1:7" x14ac:dyDescent="0.3">
      <c r="A699" s="1" t="s">
        <v>698</v>
      </c>
      <c r="B699" s="1" t="s">
        <v>794</v>
      </c>
      <c r="C699" s="2">
        <v>11.51</v>
      </c>
      <c r="D699" s="1" t="s">
        <v>754</v>
      </c>
      <c r="E699" s="1" t="s">
        <v>736</v>
      </c>
      <c r="F699" t="str" cm="1">
        <f t="array" ref="F699">_xlfn.SWITCH(MID(E699,6,1),"S","Sucker","C","Crown","N","Nursery","")</f>
        <v>Crown</v>
      </c>
      <c r="G699" t="str" cm="1">
        <f t="array" ref="G699">_xlfn.SWITCH(MID(E699,7,1),"S","Sedang","K","Kecil","B","Besar","")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basyary</dc:creator>
  <cp:lastModifiedBy>zaki basyary</cp:lastModifiedBy>
  <dcterms:created xsi:type="dcterms:W3CDTF">2026-08-18T15:16:39Z</dcterms:created>
  <dcterms:modified xsi:type="dcterms:W3CDTF">2026-08-21T03:34:12Z</dcterms:modified>
</cp:coreProperties>
</file>